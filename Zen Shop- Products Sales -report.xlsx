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bahar" sheetId="1" r:id="rId5"/>
    <sheet state="visible" name="Phone Case" sheetId="2" r:id="rId6"/>
    <sheet state="visible" name="Leyu" sheetId="3" r:id="rId7"/>
    <sheet state="visible" name="Hanfala Leather" sheetId="4" r:id="rId8"/>
    <sheet state="visible" name="Elegance &amp; Mela Studio" sheetId="5" r:id="rId9"/>
    <sheet state="visible" name="Elisabeth Oil &amp; Soap" sheetId="6" r:id="rId10"/>
    <sheet state="visible" name="More Coffee &amp; Ethio JAZZ" sheetId="7" r:id="rId11"/>
    <sheet state="visible" name="Tiyos Wear" sheetId="8" r:id="rId12"/>
    <sheet state="visible" name="Tilla Product" sheetId="9" r:id="rId13"/>
    <sheet state="visible" name="Kalon Scarf" sheetId="10" r:id="rId14"/>
    <sheet state="visible" name="Nishan Honey" sheetId="11" r:id="rId15"/>
    <sheet state="visible" name="Kuncho Leather " sheetId="12" r:id="rId16"/>
    <sheet state="visible" name="The Bake Shop" sheetId="13" r:id="rId17"/>
    <sheet state="visible" name="KareTea" sheetId="14" r:id="rId18"/>
    <sheet state="visible" name="Bere Hare" sheetId="15" r:id="rId19"/>
    <sheet state="visible" name="Araya" sheetId="16" r:id="rId20"/>
    <sheet state="visible" name="TruLove Granola" sheetId="17" r:id="rId21"/>
    <sheet state="visible" name="Zen Oats " sheetId="18" r:id="rId22"/>
    <sheet state="visible" name="Afropian" sheetId="19" r:id="rId23"/>
    <sheet state="visible" name="Asmite Bread" sheetId="20" r:id="rId24"/>
    <sheet state="visible" name="Yohannnes wood" sheetId="21" r:id="rId25"/>
    <sheet state="visible" name="Sheet14" sheetId="22" r:id="rId26"/>
    <sheet state="visible" name="Sheet13" sheetId="23" r:id="rId2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tc={0450cdd3-a935-4215-9217-9f3575ed6664}</author>
    <author>tc={0a6bf091-da34-4b4c-86ef-9ee817d400ec}</author>
    <author>tc={0a99aa28-1ecf-417b-9982-44e04d500156}</author>
    <author>tc={10513af1-4f27-4f7d-81aa-26821c8e497c}</author>
    <author>tc={119db361-2160-40ec-b53b-5c89f577878e}</author>
    <author>tc={1de7a7ff-8703-4d3f-b9ed-92a94c3386da}</author>
    <author>tc={266f450f-bc14-4ede-80b7-f8c659c46e24}</author>
    <author>tc={28c267e4-bb45-4256-b1ec-d4138908fe8c}</author>
    <author>tc={2af7e8cd-d65d-4045-a36b-1c627723f885}</author>
    <author>tc={2c2a9238-25fd-495d-b99a-2ebef9ae3ea0}</author>
    <author>tc={2d5aeb34-4935-45bb-93a6-daad2b1a783f}</author>
    <author>tc={2db6a01b-aa13-4161-bd52-1580213beb4f}</author>
    <author>tc={2f55b32a-b9aa-4898-ba41-504760eff12a}</author>
    <author>tc={35682d31-bbf9-48ee-b7a3-5bdc72713bc8}</author>
    <author>tc={37fb0c22-f74d-4891-b9b6-b886e25e1a8a}</author>
    <author>tc={3b372992-55ff-4c1e-8a3e-7f7ec7bf699c}</author>
    <author>tc={3c8f474d-f25a-4c9f-875b-156d1758a236}</author>
    <author>tc={3f2b4f98-f5ea-49df-ad98-96c11e27f1f3}</author>
    <author>tc={40e6cb86-20fd-48f8-a393-974c60bd2053}</author>
    <author>tc={416442f2-aa77-4526-a0a3-8ec178c81df0}</author>
    <author>tc={475d9968-2378-40cd-abb1-6c82ad8929c5}</author>
    <author>tc={4b9418fd-91aa-4260-9fd5-0b2453c622ed}</author>
    <author>tc={4de464f3-5b5a-48f6-8c28-2a81c5b44e6c}</author>
    <author>tc={4e7ba0d8-39bf-4910-899b-975f453440ec}</author>
    <author>tc={4fec7b3f-914f-4caf-98de-e497b4c3eb55}</author>
    <author>tc={5760edde-267a-4c96-9196-67a50fd31849}</author>
    <author>tc={590b0883-7010-4d18-b97d-d38d4aa44b8f}</author>
    <author>tc={5ad391f7-77e5-42b7-99c1-1186067c8be9}</author>
    <author>tc={5e3080c0-60d1-48a8-ae19-dd2c36f41412}</author>
    <author>tc={5f86264e-233f-4efd-8885-02b692a1e14c}</author>
    <author>tc={619d9b88-3d5a-4938-8d6e-c916bcf78bbe}</author>
    <author>tc={61da09f2-bdee-4c46-bec4-37c9f93e2b42}</author>
    <author>tc={632ac5a8-513b-4fec-b353-48c75c34ca02}</author>
    <author>tc={6351cc45-6d46-43e3-9615-1b9ee91ac9db}</author>
    <author>tc={640be369-69b4-41ba-af0e-7c2aa8308ab7}</author>
    <author>tc={65333c66-1f03-415a-9cb4-1a15d9497504}</author>
    <author>tc={66188e51-6d3d-40fe-b13d-1cd10e6203f1}</author>
    <author>tc={66491b54-df2e-4861-a1b5-0b35018a98c9}</author>
    <author>tc={67dcf0db-e1f7-4e4f-9e8c-659ff69365bf}</author>
    <author>tc={6f5b4a45-0d1c-447c-96b9-85de0543cb3d}</author>
    <author>tc={6fa114ff-8a41-41bd-ab0f-8502ddfcc58f}</author>
    <author>tc={70791293-606a-475d-8451-c8bba958ac18}</author>
    <author>tc={7512db11-fdce-454b-a969-3a472af30757}</author>
    <author>tc={75c5f061-1e7e-43f6-ace7-1e22435a4e8e}</author>
    <author>tc={773cbff6-3a68-4159-9c0a-918ab78cfee8}</author>
    <author>tc={7ce39fee-5f70-4aaa-8511-077d5838f0a1}</author>
    <author>tc={7d444f5c-f03d-48f3-a1c3-673ce4b230c6}</author>
    <author>tc={7f1ccbf4-7d30-49d2-b56a-e3b23c4b4a5a}</author>
    <author>tc={83299533-273f-4ab4-92de-b3a9fd9a78a4}</author>
    <author>tc={85a1c4bc-94d3-49d3-92cf-82bcaa507f55}</author>
    <author>tc={8624c900-a172-4f97-8728-1a64aee8733d}</author>
    <author>tc={8a69a7ab-6b30-4bc2-9149-01681609d898}</author>
    <author>tc={8ae9ce37-f630-476c-a0ac-36886de25f8e}</author>
    <author>tc={8b2a1d6b-c250-4abe-9412-14bc6bcd06da}</author>
    <author>tc={9270e088-3f0a-4538-8eaf-c2479659c5db}</author>
    <author>tc={93b78e81-8e60-4a5c-98f4-26d88f9c2a84}</author>
    <author>tc={97cdf354-5bb5-4728-86e3-0ced5b7d80e3}</author>
    <author>tc={9854cc01-0642-43ad-8811-77edf06eb202}</author>
    <author>tc={9c61813c-80ef-430b-8422-f206187ea865}</author>
    <author>tc={b0495644-bd7a-4607-8310-068147b6e7c1}</author>
    <author>tc={b056e335-89dc-4e45-80de-3294534b8431}</author>
    <author>tc={b32d9537-9535-4412-b89f-fdf5b558741c}</author>
    <author>tc={b412626c-1081-4f05-904a-f5726a0823b5}</author>
    <author>tc={b8d24f73-6fe0-4a96-adfd-dfeea5284f14}</author>
    <author>tc={bb26bf97-1d5f-4c98-a41e-1b78a2bb19c4}</author>
    <author>tc={bb921aa2-070a-4ef6-80bd-7d4118155228}</author>
    <author>tc={bfa47355-b154-4bed-adc6-e9e16dc860ea}</author>
    <author>tc={c3a3312f-cf09-4e82-a01d-161c442cb567}</author>
    <author>tc={c6d220a9-8a97-4711-b209-8b6c984b110b}</author>
    <author>tc={c8570f08-979c-42ba-a7db-921ecdcce929}</author>
    <author>tc={c9186373-ffdc-46c4-8083-4f0aef0857c0}</author>
    <author>tc={cac1bacc-0cee-43e2-85b7-eb1526994863}</author>
    <author>tc={cd4befe7-d2d8-4042-82c5-f7f8d3f49c82}</author>
    <author>tc={cd8ff46a-90d0-40c4-9e66-08c0982d8fdc}</author>
    <author>tc={cf6606a3-9d70-422d-a519-5c78f44911f0}</author>
    <author>tc={d076cd4c-aa7c-484f-8727-3d1766f4d377}</author>
    <author>tc={d46b8c09-6cc5-4744-ab31-35b31e6dd890}</author>
    <author>tc={d4c6f2f2-921c-4cd5-87e2-3dafd213dd22}</author>
    <author>tc={d7355e29-3782-488d-865b-a7eebdfcd2e3}</author>
    <author>tc={d84aea9a-6e27-4033-934b-00dedf06deb6}</author>
    <author>tc={db73432e-ff5b-465a-ae5e-a1cd24bf01eb}</author>
    <author>tc={de34b1fa-85e9-4eb5-8e96-58cbdd570f2f}</author>
    <author>tc={de828739-976f-4b46-83fa-71e97880d13e}</author>
    <author>tc={e03ff85c-68f4-4804-9168-0fe6b51bc6f0}</author>
    <author>tc={eb6a8a2f-14c9-4436-9a3f-36e9b301e2aa}</author>
    <author>tc={ed2a3186-4d64-4f2a-b48d-379fe43806e6}</author>
    <author>tc={ed785105-6773-40c3-8232-abfea517b4a6}</author>
    <author>tc={ee6347af-0f78-428b-8ec7-465866e3989a}</author>
    <author>tc={f11f9994-a32e-431e-b288-c3df4702ac77}</author>
    <author>tc={f164da0c-3eb8-4516-811e-60b6e42f8cb4}</author>
    <author>tc={f5420773-1e75-476d-9142-9b9019ba8b6d}</author>
    <author>tc={f8f45277-ec0c-4a11-9d63-6623b46ec910}</author>
    <author>tc={f919be55-c7ff-4103-9d0f-3428163cf047}</author>
    <author>tc={f9725a8a-4011-4852-acae-51922c86e26d}</author>
    <author>tc={fe79bdde-964f-4c54-8499-0544c3d8dd0e}</author>
  </authors>
  <commentList>
    <comment authorId="0" xr:uid="{0450cdd3-a935-4215-9217-9f3575ed6664}" ref="K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1" xr:uid="{0a6bf091-da34-4b4c-86ef-9ee817d400ec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2" xr:uid="{0a99aa28-1ecf-417b-9982-44e04d500156}" ref="J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05/11/2025
</t>
      </text>
    </comment>
    <comment authorId="3" xr:uid="{10513af1-4f27-4f7d-81aa-26821c8e497c}" ref="J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
</t>
      </text>
    </comment>
    <comment authorId="4" xr:uid="{119db361-2160-40ec-b53b-5c89f577878e}" ref="J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05/11/2025
</t>
      </text>
    </comment>
    <comment authorId="5" xr:uid="{1de7a7ff-8703-4d3f-b9ed-92a94c3386da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6" xr:uid="{266f450f-bc14-4ede-80b7-f8c659c46e24}" ref="Y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7" xr:uid="{28c267e4-bb45-4256-b1ec-d4138908fe8c}" ref="K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8" xr:uid="{2af7e8cd-d65d-4045-a36b-1c627723f885}" ref="Q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9" xr:uid="{2c2a9238-25fd-495d-b99a-2ebef9ae3ea0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
</t>
      </text>
    </comment>
    <comment authorId="10" xr:uid="{2d5aeb34-4935-45bb-93a6-daad2b1a783f}" ref="K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11" xr:uid="{2db6a01b-aa13-4161-bd52-1580213beb4f}" ref="J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22/09/2025
</t>
      </text>
    </comment>
    <comment authorId="12" xr:uid="{2f55b32a-b9aa-4898-ba41-504760eff12a}" ref="I3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21/07/26 7075
</t>
      </text>
    </comment>
    <comment authorId="13" xr:uid="{35682d31-bbf9-48ee-b7a3-5bdc72713bc8}" ref="I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CBE Transfer
</t>
      </text>
    </comment>
    <comment authorId="14" xr:uid="{37fb0c22-f74d-4891-b9b6-b886e25e1a8a}" ref="Q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Meri
</t>
      </text>
    </comment>
    <comment authorId="15" xr:uid="{3b372992-55ff-4c1e-8a3e-7f7ec7bf699c}" ref="K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
</t>
      </text>
    </comment>
    <comment authorId="16" xr:uid="{3c8f474d-f25a-4c9f-875b-156d1758a236}" ref="M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room bill
</t>
      </text>
    </comment>
    <comment authorId="17" xr:uid="{3f2b4f98-f5ea-49df-ad98-96c11e27f1f3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18" xr:uid="{40e6cb86-20fd-48f8-a393-974c60bd2053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
</t>
      </text>
    </comment>
    <comment authorId="19" xr:uid="{416442f2-aa77-4526-a0a3-8ec178c81df0}" ref="K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20" xr:uid="{475d9968-2378-40cd-abb1-6c82ad8929c5}" ref="J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05/11/2025
</t>
      </text>
    </comment>
    <comment authorId="21" xr:uid="{4b9418fd-91aa-4260-9fd5-0b2453c622ed}" ref="J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11/09/2025
</t>
      </text>
    </comment>
    <comment authorId="22" xr:uid="{4de464f3-5b5a-48f6-8c28-2a81c5b44e6c}" ref="I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Desire
</t>
      </text>
    </comment>
    <comment authorId="23" xr:uid="{4e7ba0d8-39bf-4910-899b-975f453440ec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24" xr:uid="{4fec7b3f-914f-4caf-98de-e497b4c3eb55}" ref="J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11/09/2025
</t>
      </text>
    </comment>
    <comment authorId="25" xr:uid="{5760edde-267a-4c96-9196-67a50fd31849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26" xr:uid="{590b0883-7010-4d18-b97d-d38d4aa44b8f}" ref="J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05/11/2025
</t>
      </text>
    </comment>
    <comment authorId="27" xr:uid="{5ad391f7-77e5-42b7-99c1-1186067c8be9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 for yared mom account
</t>
      </text>
    </comment>
    <comment authorId="28" xr:uid="{5e3080c0-60d1-48a8-ae19-dd2c36f41412}" ref="M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29" xr:uid="{5f86264e-233f-4efd-8885-02b692a1e14c}" ref="K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payed cash
</t>
      </text>
    </comment>
    <comment authorId="30" xr:uid="{619d9b88-3d5a-4938-8d6e-c916bcf78bbe}" ref="M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DANI
</t>
      </text>
    </comment>
    <comment authorId="31" xr:uid="{61da09f2-bdee-4c46-bec4-37c9f93e2b42}" ref="K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32" xr:uid="{632ac5a8-513b-4fec-b353-48c75c34ca02}" ref="U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33" xr:uid="{6351cc45-6d46-43e3-9615-1b9ee91ac9db}" ref="M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34" xr:uid="{640be369-69b4-41ba-af0e-7c2aa8308ab7}" ref="J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25/09/2025
</t>
      </text>
    </comment>
    <comment authorId="35" xr:uid="{65333c66-1f03-415a-9cb4-1a15d9497504}" ref="O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36" xr:uid="{66188e51-6d3d-40fe-b13d-1cd10e6203f1}" ref="W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37" xr:uid="{66491b54-df2e-4861-a1b5-0b35018a98c9}" ref="C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gonder(10401), various design(10402), akobo(120481)
</t>
      </text>
    </comment>
    <comment authorId="38" xr:uid="{67dcf0db-e1f7-4e4f-9e8c-659ff69365bf}" ref="I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Resto
</t>
      </text>
    </comment>
    <comment authorId="39" xr:uid="{6f5b4a45-0d1c-447c-96b9-85de0543cb3d}" ref="J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29/08/2025
</t>
      </text>
    </comment>
    <comment authorId="40" xr:uid="{6fa114ff-8a41-41bd-ab0f-8502ddfcc58f}" ref="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zen gift
</t>
      </text>
    </comment>
    <comment authorId="41" xr:uid="{70791293-606a-475d-8451-c8bba958ac18}" ref="J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Pink One
</t>
      </text>
    </comment>
    <comment authorId="42" xr:uid="{7512db11-fdce-454b-a969-3a472af30757}" ref="K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43" xr:uid="{75c5f061-1e7e-43f6-ace7-1e22435a4e8e}" ref="K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paid dollar 25$
</t>
      </text>
    </comment>
    <comment authorId="44" xr:uid="{773cbff6-3a68-4159-9c0a-918ab78cfee8}" ref="S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45" xr:uid="{7ce39fee-5f70-4aaa-8511-077d5838f0a1}" ref="K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resto
</t>
      </text>
    </comment>
    <comment authorId="46" xr:uid="{7d444f5c-f03d-48f3-a1c3-673ce4b230c6}" ref="K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room
</t>
      </text>
    </comment>
    <comment authorId="47" xr:uid="{7f1ccbf4-7d30-49d2-b56a-e3b23c4b4a5a}" ref="K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48" xr:uid="{83299533-273f-4ab4-92de-b3a9fd9a78a4}" ref="Q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49" xr:uid="{85a1c4bc-94d3-49d3-92cf-82bcaa507f55}" ref="M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dani-&gt;solmon
</t>
      </text>
    </comment>
    <comment authorId="50" xr:uid="{8624c900-a172-4f97-8728-1a64aee8733d}" ref="I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
</t>
      </text>
    </comment>
    <comment authorId="51" xr:uid="{8a69a7ab-6b30-4bc2-9149-01681609d898}" ref="J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05/11/2025
</t>
      </text>
    </comment>
    <comment authorId="52" xr:uid="{8ae9ce37-f630-476c-a0ac-36886de25f8e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
</t>
      </text>
    </comment>
    <comment authorId="53" xr:uid="{8b2a1d6b-c250-4abe-9412-14bc6bcd06da}" ref="K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54" xr:uid="{9270e088-3f0a-4538-8eaf-c2479659c5db}" ref="O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55" xr:uid="{93b78e81-8e60-4a5c-98f4-26d88f9c2a84}" ref="Q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56" xr:uid="{97cdf354-5bb5-4728-86e3-0ced5b7d80e3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57" xr:uid="{9854cc01-0642-43ad-8811-77edf06eb202}" ref="J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X-mass gift
</t>
      </text>
    </comment>
    <comment authorId="58" xr:uid="{9c61813c-80ef-430b-8422-f206187ea865}" ref="I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06/07/2026   2875
</t>
      </text>
    </comment>
    <comment authorId="59" xr:uid="{b0495644-bd7a-4607-8310-068147b6e7c1}" ref="J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Birthday Gift
</t>
      </text>
    </comment>
    <comment authorId="60" xr:uid="{b056e335-89dc-4e45-80de-3294534b8431}" ref="K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
</t>
      </text>
    </comment>
    <comment authorId="61" xr:uid="{b32d9537-9535-4412-b89f-fdf5b558741c}" ref="K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62" xr:uid="{b412626c-1081-4f05-904a-f5726a0823b5}" ref="K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63" xr:uid="{b8d24f73-6fe0-4a96-adfd-dfeea5284f14}" ref="O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64" xr:uid="{bb26bf97-1d5f-4c98-a41e-1b78a2bb19c4}" ref="M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65" xr:uid="{bb921aa2-070a-4ef6-80bd-7d4118155228}" ref="J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22/09/2025
</t>
      </text>
    </comment>
    <comment authorId="66" xr:uid="{bfa47355-b154-4bed-adc6-e9e16dc860ea}" ref="K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67" xr:uid="{c3a3312f-cf09-4e82-a01d-161c442cb567}" ref="J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05/11/2025
</t>
      </text>
    </comment>
    <comment authorId="68" xr:uid="{c6d220a9-8a97-4711-b209-8b6c984b110b}" ref="I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19/07/26 -
</t>
      </text>
    </comment>
    <comment authorId="69" xr:uid="{c8570f08-979c-42ba-a7db-921ecdcce929}" ref="I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06/04/2026 with restaurant bill _ 2875
</t>
      </text>
    </comment>
    <comment authorId="70" xr:uid="{c9186373-ffdc-46c4-8083-4f0aef0857c0}" ref="M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71" xr:uid="{cac1bacc-0cee-43e2-85b7-eb1526994863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
</t>
      </text>
    </comment>
    <comment authorId="72" xr:uid="{cd4befe7-d2d8-4042-82c5-f7f8d3f49c82}" ref="H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Goethe staff ( dec 01) MT
</t>
      </text>
    </comment>
    <comment authorId="73" xr:uid="{cd8ff46a-90d0-40c4-9e66-08c0982d8fdc}" ref="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payed pos
</t>
      </text>
    </comment>
    <comment authorId="74" xr:uid="{cf6606a3-9d70-422d-a519-5c78f44911f0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75" xr:uid="{d076cd4c-aa7c-484f-8727-3d1766f4d377}" ref="J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16/09/2025
</t>
      </text>
    </comment>
    <comment authorId="76" xr:uid="{d46b8c09-6cc5-4744-ab31-35b31e6dd890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77" xr:uid="{d4c6f2f2-921c-4cd5-87e2-3dafd213dd22}" ref="I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CBE Transfer
</t>
      </text>
    </comment>
    <comment authorId="78" xr:uid="{d7355e29-3782-488d-865b-a7eebdfcd2e3}" ref="K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79" xr:uid="{d84aea9a-6e27-4033-934b-00dedf06deb6}" ref="J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29/08/2025
</t>
      </text>
    </comment>
    <comment authorId="80" xr:uid="{db73432e-ff5b-465a-ae5e-a1cd24bf01eb}" ref="L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Dec/2025
</t>
      </text>
    </comment>
    <comment authorId="81" xr:uid="{de34b1fa-85e9-4eb5-8e96-58cbdd570f2f}" ref="K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82" xr:uid="{de828739-976f-4b46-83fa-71e97880d13e}" ref="N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Scarp - 13
Hand Towel - 2
Bedside Mat - 1
Beach Towel - 1
</t>
      </text>
    </comment>
    <comment authorId="83" xr:uid="{e03ff85c-68f4-4804-9168-0fe6b51bc6f0}" ref="I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05/06/26 12995
</t>
      </text>
    </comment>
    <comment authorId="84" xr:uid="{eb6a8a2f-14c9-4436-9a3f-36e9b301e2aa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account
</t>
      </text>
    </comment>
    <comment authorId="85" xr:uid="{ed2a3186-4d64-4f2a-b48d-379fe43806e6}" ref="K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86" xr:uid="{ed785105-6773-40c3-8232-abfea517b4a6}" ref="I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05/06/26 12995
</t>
      </text>
    </comment>
    <comment authorId="87" xr:uid="{ee6347af-0f78-428b-8ec7-465866e3989a}" ref="I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resto 06/04/2026
</t>
      </text>
    </comment>
    <comment authorId="88" xr:uid="{f11f9994-a32e-431e-b288-c3df4702ac77}" ref="M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89" xr:uid="{f164da0c-3eb8-4516-811e-60b6e42f8cb4}" ref="M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450 payed 400 from salary balance
</t>
      </text>
    </comment>
    <comment authorId="90" xr:uid="{f5420773-1e75-476d-9142-9b9019ba8b6d}" ref="K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91" xr:uid="{f8f45277-ec0c-4a11-9d63-6623b46ec910}" ref="I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Birthday Gift
</t>
      </text>
    </comment>
    <comment authorId="92" xr:uid="{f919be55-c7ff-4103-9d0f-3428163cf047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
</t>
      </text>
    </comment>
    <comment authorId="93" xr:uid="{f9725a8a-4011-4852-acae-51922c86e26d}" ref="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94" xr:uid="{fe79bdde-964f-4c54-8499-0544c3d8dd0e}" ref="M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tc={245adb44-307b-43ca-9e0f-9bb89194a701}</author>
    <author>tc={351ce586-7c60-4ad4-a25b-7b42d95157a1}</author>
    <author>tc={690f7524-6bc4-441f-80e8-3185343c56b1}</author>
    <author>tc={78620dac-16ef-491b-949f-5c962c1c67b5}</author>
    <author>tc={96700c3a-c5b6-47f8-bfa7-33d3f11548b2}</author>
    <author>tc={c6b0cd1d-2f45-42b3-b86d-df4702a835bc}</author>
  </authors>
  <commentList>
    <comment authorId="0" xr:uid="{245adb44-307b-43ca-9e0f-9bb89194a701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05/06/26 12995   RED
</t>
      </text>
    </comment>
    <comment authorId="1" xr:uid="{351ce586-7c60-4ad4-a25b-7b42d95157a1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Red, Yellow?
</t>
      </text>
    </comment>
    <comment authorId="2" xr:uid="{690f7524-6bc4-441f-80e8-3185343c56b1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Rest - 23/04/2026
</t>
      </text>
    </comment>
    <comment authorId="3" xr:uid="{78620dac-16ef-491b-949f-5c962c1c67b5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Red, 1 Gray, 1 Yellow
</t>
      </text>
    </comment>
    <comment authorId="4" xr:uid="{96700c3a-c5b6-47f8-bfa7-33d3f11548b2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Yellow, 1 gray
</t>
      </text>
    </comment>
    <comment authorId="5" xr:uid="{c6b0cd1d-2f45-42b3-b86d-df4702a835bc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05/06/26 12995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tc={4007de3f-31de-475f-bda1-ada9ad67d5cf}</author>
    <author>tc={55857695-4fd3-4f1b-8b91-588027db98c2}</author>
    <author>tc={b973df23-5703-4f7a-9dcc-5b5ade430abe}</author>
    <author>tc={e5c2eac5-ba74-4c31-8046-f8e99537f18f}</author>
  </authors>
  <commentList>
    <comment authorId="0" xr:uid="{4007de3f-31de-475f-bda1-ada9ad67d5cf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17/04/26
</t>
      </text>
    </comment>
    <comment authorId="1" xr:uid="{55857695-4fd3-4f1b-8b91-588027db98c2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31/05/2026
</t>
      </text>
    </comment>
    <comment authorId="2" xr:uid="{b973df23-5703-4f7a-9dcc-5b5ade430abe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Resto 05/05/26
</t>
      </text>
    </comment>
    <comment authorId="3" xr:uid="{e5c2eac5-ba74-4c31-8046-f8e99537f18f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04/04/26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tc={14601b2c-da0c-4874-bf9f-5ed31d989859}</author>
    <author>tc={191f8bf3-34f3-4080-969f-040e4b5611ca}</author>
    <author>tc={1a02db01-f138-47cc-ad67-2567e2babe1b}</author>
    <author>tc={2e602ba2-4a5a-429a-ace0-1d36303b0efe}</author>
    <author>tc={5c406e4e-3297-449f-adaa-d29279950fe2}</author>
    <author>tc={87a32064-ac12-42f8-9ded-588dfe6aa61e}</author>
    <author>tc={944a9980-110b-4a28-9212-a05d4e804c31}</author>
    <author>tc={9a888a8a-ff10-4917-b171-845b008eff7d}</author>
    <author>tc={ba040056-b62a-49f1-8450-2dd99a62c5aa}</author>
    <author>tc={c658ff8b-df48-4940-8588-3408d856f1d5}</author>
    <author>tc={cbcb5498-acce-4302-9bf1-b178c3ccb898}</author>
    <author>tc={d1c4d323-4b0c-4a90-863a-261c81c42a33}</author>
    <author>tc={ddd557e3-699c-44dd-8394-a8b0c5d47748}</author>
    <author>tc={e7867e0d-92ba-4ce6-a6b4-e889ae3cb12f}</author>
  </authors>
  <commentList>
    <comment authorId="0" xr:uid="{14601b2c-da0c-4874-bf9f-5ed31d989859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Dany Bought
</t>
      </text>
    </comment>
    <comment authorId="1" xr:uid="{191f8bf3-34f3-4080-969f-040e4b5611ca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08/04/26
</t>
      </text>
    </comment>
    <comment authorId="2" xr:uid="{1a02db01-f138-47cc-ad67-2567e2babe1b}" ref="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11/06/26
</t>
      </text>
    </comment>
    <comment authorId="3" xr:uid="{2e602ba2-4a5a-429a-ace0-1d36303b0efe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22/03/26
</t>
      </text>
    </comment>
    <comment authorId="4" xr:uid="{5c406e4e-3297-449f-adaa-d29279950fe2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25/06/2026
</t>
      </text>
    </comment>
    <comment authorId="5" xr:uid="{87a32064-ac12-42f8-9ded-588dfe6aa61e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01/11/2025
</t>
      </text>
    </comment>
    <comment authorId="6" xr:uid="{944a9980-110b-4a28-9212-a05d4e804c31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10/11/25
</t>
      </text>
    </comment>
    <comment authorId="7" xr:uid="{9a888a8a-ff10-4917-b171-845b008eff7d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21/04/26
</t>
      </text>
    </comment>
    <comment authorId="8" xr:uid="{ba040056-b62a-49f1-8450-2dd99a62c5aa}" ref="J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07/08/26
</t>
      </text>
    </comment>
    <comment authorId="9" xr:uid="{c658ff8b-df48-4940-8588-3408d856f1d5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06/11/2025
</t>
      </text>
    </comment>
    <comment authorId="10" xr:uid="{cbcb5498-acce-4302-9bf1-b178c3ccb898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25/06/2026
</t>
      </text>
    </comment>
    <comment authorId="11" xr:uid="{d1c4d323-4b0c-4a90-863a-261c81c42a33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Yellow
</t>
      </text>
    </comment>
    <comment authorId="12" xr:uid="{ddd557e3-699c-44dd-8394-a8b0c5d47748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10/11/25
</t>
      </text>
    </comment>
    <comment authorId="13" xr:uid="{e7867e0d-92ba-4ce6-a6b4-e889ae3cb12f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26/06/2026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tc={25ad158e-ba72-4809-ab45-42695229ddc7}</author>
    <author>tc={37665b57-fbc1-4e01-90a6-261237e90f66}</author>
    <author>tc={d351d60e-77f2-4c12-9c6a-90d6b006d99c}</author>
  </authors>
  <commentList>
    <comment authorId="0" xr:uid="{25ad158e-ba72-4809-ab45-42695229ddc7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CBE MER
</t>
      </text>
    </comment>
    <comment authorId="1" xr:uid="{37665b57-fbc1-4e01-90a6-261237e90f66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 11/12/2025
</t>
      </text>
    </comment>
    <comment authorId="2" xr:uid="{d351d60e-77f2-4c12-9c6a-90d6b006d99c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20/01/26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tc={083e2488-f506-4352-a48d-0a3c20f537be}</author>
    <author>tc={15ad9a95-19a1-437f-acca-01bd0437c787}</author>
    <author>tc={69b17d37-3ddb-4b91-88ed-72490d68f2fa}</author>
    <author>tc={7415841f-2bd1-4067-957e-27fd2594ec4b}</author>
    <author>tc={adffea2f-a2e7-46cf-84cb-d15381b8a809}</author>
    <author>tc={cd057aa3-f495-441a-8019-8edcb7fcd36f}</author>
    <author>tc={f050e798-d8f3-40b7-863c-0ad2c59af3f2}</author>
  </authors>
  <commentList>
    <comment authorId="0" xr:uid="{083e2488-f506-4352-a48d-0a3c20f537be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10/12/2025
</t>
      </text>
    </comment>
    <comment authorId="1" xr:uid="{15ad9a95-19a1-437f-acca-01bd0437c787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09/02/2026
</t>
      </text>
    </comment>
    <comment authorId="2" xr:uid="{69b17d37-3ddb-4b91-88ed-72490d68f2fa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10/12/2025
</t>
      </text>
    </comment>
    <comment authorId="3" xr:uid="{7415841f-2bd1-4067-957e-27fd2594ec4b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15/03/26
</t>
      </text>
    </comment>
    <comment authorId="4" xr:uid="{adffea2f-a2e7-46cf-84cb-d15381b8a809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5" xr:uid="{cd057aa3-f495-441a-8019-8edcb7fcd36f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05/12/2025
</t>
      </text>
    </comment>
    <comment authorId="6" xr:uid="{f050e798-d8f3-40b7-863c-0ad2c59af3f2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17/02/26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tc={04802c8c-059c-434e-b0ed-3b2cb00f8438}</author>
    <author>tc={122f1949-b46c-4a9b-839b-109cd1cc8054}</author>
    <author>tc={4ee2ff18-0d44-49a3-96ad-12d6019c0083}</author>
    <author>tc={55e19787-8b3d-48d2-b185-b9f3b7a44fbd}</author>
    <author>tc={5879465c-108b-4a4b-b597-aa172e5f514a}</author>
    <author>tc={5893762a-ebdc-4b0e-8ded-ef4c1f892e26}</author>
    <author>tc={5ee5e13b-a861-44a5-8d8e-5399773f630a}</author>
    <author>tc={6feb2700-16d9-40f5-8c23-7734a30fc6a2}</author>
    <author>tc={705b107c-66fe-48af-9362-5793f07a1df3}</author>
    <author>tc={9e12221a-32f0-4080-9dd9-c3fd9e1959e9}</author>
    <author>tc={9f6cbe6e-bc8f-4ddc-a475-5b1cd5af2330}</author>
    <author>tc={ae9101c6-75d0-49dd-8807-96d3465a8d79}</author>
    <author>tc={d6a9e3fa-f7bf-4aef-8fb8-a75652582456}</author>
    <author>tc={e21bf2e7-db6f-40ec-a8db-1de3cbbf674d}</author>
    <author>tc={eff54a76-1f1a-4b5e-89fa-704dcc3537ba}</author>
    <author>tc={f19efce6-cdd2-4834-854d-79cd31f1ccd1}</author>
    <author>tc={fb2bc7fb-b77f-460b-9e37-a1f9866d7732}</author>
  </authors>
  <commentList>
    <comment authorId="0" xr:uid="{04802c8c-059c-434e-b0ed-3b2cb00f8438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16800 - with doro  CBE Transfer
</t>
      </text>
    </comment>
    <comment authorId="1" xr:uid="{122f1949-b46c-4a9b-839b-109cd1cc8054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 hibret - 1/11/2025
</t>
      </text>
    </comment>
    <comment authorId="2" xr:uid="{4ee2ff18-0d44-49a3-96ad-12d6019c0083}" ref="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
</t>
      </text>
    </comment>
    <comment authorId="3" xr:uid="{55e19787-8b3d-48d2-b185-b9f3b7a44fbd}" ref="I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Rest
</t>
      </text>
    </comment>
    <comment authorId="4" xr:uid="{5879465c-108b-4a4b-b597-aa172e5f514a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1 - movie night
</t>
      </text>
    </comment>
    <comment authorId="5" xr:uid="{5893762a-ebdc-4b0e-8ded-ef4c1f892e26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12/12/25 with rest
</t>
      </text>
    </comment>
    <comment authorId="6" xr:uid="{5ee5e13b-a861-44a5-8d8e-5399773f630a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Rest- 3, Cash
</t>
      </text>
    </comment>
    <comment authorId="7" xr:uid="{6feb2700-16d9-40f5-8c23-7734a30fc6a2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
</t>
      </text>
    </comment>
    <comment authorId="8" xr:uid="{705b107c-66fe-48af-9362-5793f07a1df3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 hibret - 17/03/26
Reply:
	2= 1kg
</t>
      </text>
    </comment>
    <comment authorId="9" xr:uid="{9e12221a-32f0-4080-9dd9-c3fd9e1959e9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10" xr:uid="{9f6cbe6e-bc8f-4ddc-a475-5b1cd5af2330}" ref="J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 hibret - 17/03/26
</t>
      </text>
    </comment>
    <comment authorId="11" xr:uid="{ae9101c6-75d0-49dd-8807-96d3465a8d79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12/12/25 with rest
</t>
      </text>
    </comment>
    <comment authorId="12" xr:uid="{d6a9e3fa-f7bf-4aef-8fb8-a75652582456}" ref="I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12/12/25 with rest
</t>
      </text>
    </comment>
    <comment authorId="13" xr:uid="{e21bf2e7-db6f-40ec-a8db-1de3cbbf674d}" ref="J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
</t>
      </text>
    </comment>
    <comment authorId="14" xr:uid="{eff54a76-1f1a-4b5e-89fa-704dcc3537ba}" ref="I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4- with rest
</t>
      </text>
    </comment>
    <comment authorId="15" xr:uid="{f19efce6-cdd2-4834-854d-79cd31f1ccd1}" ref="J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Sofia Gift
</t>
      </text>
    </comment>
    <comment authorId="16" xr:uid="{fb2bc7fb-b77f-460b-9e37-a1f9866d7732}" ref="K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tc={13f00485-1187-496e-bf12-f97ad03e62fc}</author>
    <author>tc={75d79365-e37f-45f0-927b-ac917ffabc34}</author>
    <author>tc={7b7caf1d-385f-46c4-a09f-1b53323d5e2a}</author>
    <author>tc={df558572-81d6-4a70-9bf7-aa4affd1f853}</author>
    <author>tc={f4c8f929-364a-401f-add8-9a3dc89e701c}</author>
  </authors>
  <commentList>
    <comment authorId="0" xr:uid="{13f00485-1187-496e-bf12-f97ad03e62fc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 Hibret (10/12/2025) blueish
</t>
      </text>
    </comment>
    <comment authorId="1" xr:uid="{75d79365-e37f-45f0-927b-ac917ffabc34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 Hibret - 12/03/26
</t>
      </text>
    </comment>
    <comment authorId="2" xr:uid="{7b7caf1d-385f-46c4-a09f-1b53323d5e2a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1 $
</t>
      </text>
    </comment>
    <comment authorId="3" xr:uid="{df558572-81d6-4a70-9bf7-aa4affd1f853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CBE Transfer
</t>
      </text>
    </comment>
    <comment authorId="4" xr:uid="{f4c8f929-364a-401f-add8-9a3dc89e701c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coats _ Cash $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tc={041f0bab-5706-426e-839f-5b927192b6d2}</author>
    <author>tc={19684381-c7d3-496a-b9e9-dcab0da0cd08}</author>
    <author>tc={4a4566c6-3f3e-4e01-986f-a4f40f4ef407}</author>
    <author>tc={4b2753c5-0880-4862-b767-43141b9684c6}</author>
    <author>tc={7328300a-47db-416c-b52d-e479263c2880}</author>
    <author>tc={775f8b42-5c12-428d-a366-aeccd384e244}</author>
    <author>tc={850a9162-bccc-4fd6-ac8e-d04d5d852f17}</author>
    <author>tc={857290f1-e350-440a-a102-5f47e4775de4}</author>
    <author>tc={879ea4a2-3946-41b0-9cde-5065e31a7a96}</author>
    <author>tc={8a20a24e-088a-464c-8269-04e6489b2984}</author>
    <author>tc={9a3833f9-8caa-4722-b347-725e888c33e4}</author>
    <author>tc={a3a093cb-1535-489c-a293-fe272a7ebcd3}</author>
    <author>tc={bc6a5d65-cfc6-4946-a30c-3d627288384f}</author>
    <author>tc={bf1dc6e4-6052-4c5d-ad8d-f33277120ab5}</author>
    <author>tc={fc28e23a-3992-43c9-a7c4-03621a696469}</author>
  </authors>
  <commentList>
    <comment authorId="0" xr:uid="{041f0bab-5706-426e-839f-5b927192b6d2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4,968 (04/8/26)
</t>
      </text>
    </comment>
    <comment authorId="1" xr:uid="{19684381-c7d3-496a-b9e9-dcab0da0cd08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2" xr:uid="{4a4566c6-3f3e-4e01-986f-a4f40f4ef407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2 - Cash
</t>
      </text>
    </comment>
    <comment authorId="3" xr:uid="{4b2753c5-0880-4862-b767-43141b9684c6}" ref="I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2 - Cash
</t>
      </text>
    </comment>
    <comment authorId="4" xr:uid="{7328300a-47db-416c-b52d-e479263c2880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1- Cash
</t>
      </text>
    </comment>
    <comment authorId="5" xr:uid="{775f8b42-5c12-428d-a366-aeccd384e244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4,968 (04/8/26)
</t>
      </text>
    </comment>
    <comment authorId="6" xr:uid="{850a9162-bccc-4fd6-ac8e-d04d5d852f17}" ref="H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2 - 4,968 (04/8/26)
</t>
      </text>
    </comment>
    <comment authorId="7" xr:uid="{857290f1-e350-440a-a102-5f47e4775de4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Telebirr with resto
</t>
      </text>
    </comment>
    <comment authorId="8" xr:uid="{879ea4a2-3946-41b0-9cde-5065e31a7a96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
</t>
      </text>
    </comment>
    <comment authorId="9" xr:uid="{8a20a24e-088a-464c-8269-04e6489b2984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1 - Cash
</t>
      </text>
    </comment>
    <comment authorId="10" xr:uid="{9a3833f9-8caa-4722-b347-725e888c33e4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Jochen - Cash
</t>
      </text>
    </comment>
    <comment authorId="11" xr:uid="{a3a093cb-1535-489c-a293-fe272a7ebcd3}" ref="H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4,968 (04/8/26)
</t>
      </text>
    </comment>
    <comment authorId="12" xr:uid="{bc6a5d65-cfc6-4946-a30c-3d627288384f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540.5
</t>
      </text>
    </comment>
    <comment authorId="13" xr:uid="{bf1dc6e4-6052-4c5d-ad8d-f33277120ab5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Cash (11/12/2025)
</t>
      </text>
    </comment>
    <comment authorId="14" xr:uid="{fc28e23a-3992-43c9-a7c4-03621a696469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2 - Cash
</t>
      </text>
    </comment>
  </commentList>
</comments>
</file>

<file path=xl/sharedStrings.xml><?xml version="1.0" encoding="utf-8"?>
<sst xmlns="http://schemas.openxmlformats.org/spreadsheetml/2006/main" count="1610" uniqueCount="763">
  <si>
    <t>25/04/2026</t>
  </si>
  <si>
    <t>Hanfala Leather</t>
  </si>
  <si>
    <t>ID</t>
  </si>
  <si>
    <t xml:space="preserve">Sabahar Products for Sales </t>
  </si>
  <si>
    <t>Description</t>
  </si>
  <si>
    <t>Nb</t>
  </si>
  <si>
    <t>Qty</t>
  </si>
  <si>
    <t>Unit Price</t>
  </si>
  <si>
    <t>20 % Discount</t>
  </si>
  <si>
    <t>Amount</t>
  </si>
  <si>
    <t>Buyer</t>
  </si>
  <si>
    <t>Total Amount</t>
  </si>
  <si>
    <t>Abaye</t>
  </si>
  <si>
    <t>Code</t>
  </si>
  <si>
    <t xml:space="preserve">Description </t>
  </si>
  <si>
    <t xml:space="preserve">Selling Price </t>
  </si>
  <si>
    <t xml:space="preserve">Qty </t>
  </si>
  <si>
    <t>Buying Price</t>
  </si>
  <si>
    <t>Payment</t>
  </si>
  <si>
    <t>Selling Price</t>
  </si>
  <si>
    <t>Buyer 1</t>
  </si>
  <si>
    <t>Payment Method</t>
  </si>
  <si>
    <t>Buyer 2</t>
  </si>
  <si>
    <t>Buyer 3</t>
  </si>
  <si>
    <t>Buyer 4</t>
  </si>
  <si>
    <t>Buyer 5</t>
  </si>
  <si>
    <t>Price</t>
  </si>
  <si>
    <t>Buyer1</t>
  </si>
  <si>
    <t>qty</t>
  </si>
  <si>
    <t>Buyer2</t>
  </si>
  <si>
    <t>Buyer3</t>
  </si>
  <si>
    <t>Womens Wallet</t>
  </si>
  <si>
    <t>Phone Case ( Eshi)</t>
  </si>
  <si>
    <t>Balance qty</t>
  </si>
  <si>
    <t>100% Cotton Hand Towel 50x80</t>
  </si>
  <si>
    <t>Marit</t>
  </si>
  <si>
    <t>POS/H</t>
  </si>
  <si>
    <t>Matt</t>
  </si>
  <si>
    <t>Pos/H with Resto</t>
  </si>
  <si>
    <t>Mariam</t>
  </si>
  <si>
    <t>Gift</t>
  </si>
  <si>
    <t>Belt</t>
  </si>
  <si>
    <t>Flower</t>
  </si>
  <si>
    <t>CBE Transfer</t>
  </si>
  <si>
    <t>Nikolai</t>
  </si>
  <si>
    <t>Cash</t>
  </si>
  <si>
    <t>Daniel/alemash</t>
  </si>
  <si>
    <t>Feven fnd</t>
  </si>
  <si>
    <t>POS Hibret</t>
  </si>
  <si>
    <t>Phone Case ( Cross )</t>
  </si>
  <si>
    <t>Senayit</t>
  </si>
  <si>
    <t>Henock</t>
  </si>
  <si>
    <t>Adey Abeba</t>
  </si>
  <si>
    <t>Phone Case ( Arabic )</t>
  </si>
  <si>
    <t>Etalem Balnket</t>
  </si>
  <si>
    <t>Pos Hibert</t>
  </si>
  <si>
    <t>Thomas</t>
  </si>
  <si>
    <t>Pos Hibret</t>
  </si>
  <si>
    <t>Love &amp; Hope Pillowcase</t>
  </si>
  <si>
    <t>Jasmine</t>
  </si>
  <si>
    <t>Love &amp; Hope Scarfs</t>
  </si>
  <si>
    <t>faith</t>
  </si>
  <si>
    <t>Etalem Pillow Case</t>
  </si>
  <si>
    <t>Degu Scarf</t>
  </si>
  <si>
    <t>Marcia</t>
  </si>
  <si>
    <t>Jochen</t>
  </si>
  <si>
    <t>Christmas Gift</t>
  </si>
  <si>
    <t>Netsanet</t>
  </si>
  <si>
    <t>Phone Case ( Axum )</t>
  </si>
  <si>
    <t>Card Holder</t>
  </si>
  <si>
    <t>Wc</t>
  </si>
  <si>
    <t>POS hIBRET</t>
  </si>
  <si>
    <t>Matthieu Sis</t>
  </si>
  <si>
    <t>Cash/CBE</t>
  </si>
  <si>
    <t>Gimra</t>
  </si>
  <si>
    <t>Bianca</t>
  </si>
  <si>
    <t>Men Wallet</t>
  </si>
  <si>
    <t>Purse</t>
  </si>
  <si>
    <t>Tina</t>
  </si>
  <si>
    <t>Mathild</t>
  </si>
  <si>
    <t>POS</t>
  </si>
  <si>
    <t>card Holder fold</t>
  </si>
  <si>
    <t>Biljana</t>
  </si>
  <si>
    <t>Inventory</t>
  </si>
  <si>
    <t>Larger Passoprt Holder(paid)</t>
  </si>
  <si>
    <t>Glass Holder ( paid)</t>
  </si>
  <si>
    <t>Tab Cover</t>
  </si>
  <si>
    <t>Laptop Cover</t>
  </si>
  <si>
    <t>Noah Scarf/ line/ 45x200</t>
  </si>
  <si>
    <t>Zaynura</t>
  </si>
  <si>
    <t>Hui</t>
  </si>
  <si>
    <t>Pos Hibrt - 4370</t>
  </si>
  <si>
    <t>Toiletries Holder Small</t>
  </si>
  <si>
    <t>Zak</t>
  </si>
  <si>
    <t>Beach Towel 100x180 cm</t>
  </si>
  <si>
    <t>Mathilde</t>
  </si>
  <si>
    <t>Claudia</t>
  </si>
  <si>
    <t>Beti</t>
  </si>
  <si>
    <t>Pos Hibrt w resto</t>
  </si>
  <si>
    <t>Zenach Throw</t>
  </si>
  <si>
    <t>Total</t>
  </si>
  <si>
    <t>Toiletries Holder Large</t>
  </si>
  <si>
    <t>WALKING CUS</t>
  </si>
  <si>
    <t xml:space="preserve">Øistein </t>
  </si>
  <si>
    <t>Judith Shawl 75x210</t>
  </si>
  <si>
    <t>LADIES Tote Bag Green</t>
  </si>
  <si>
    <t>Taken Back</t>
  </si>
  <si>
    <t>Stella Shawl 70x200</t>
  </si>
  <si>
    <t>LADIES Tote Bag</t>
  </si>
  <si>
    <t>Ahmed</t>
  </si>
  <si>
    <t>To be Paid</t>
  </si>
  <si>
    <t>Addis</t>
  </si>
  <si>
    <t>Yeshi Shawl 70x200cm</t>
  </si>
  <si>
    <t>Maraki</t>
  </si>
  <si>
    <t>Plaid Shawl Wool</t>
  </si>
  <si>
    <t>Joy Shawl 70x200</t>
  </si>
  <si>
    <t>Tabita Scarf 45x200cm</t>
  </si>
  <si>
    <t>Joel Gift</t>
  </si>
  <si>
    <t>Henock Scarf 45x200cm</t>
  </si>
  <si>
    <t xml:space="preserve">Total </t>
  </si>
  <si>
    <t>Sold</t>
  </si>
  <si>
    <t>Paid</t>
  </si>
  <si>
    <t>Remaining</t>
  </si>
  <si>
    <t>Inventory 15/06/2026</t>
  </si>
  <si>
    <t>Wubet shawel 70*200</t>
  </si>
  <si>
    <t>Henock scarf 45*200</t>
  </si>
  <si>
    <t>ELENS SISTER</t>
  </si>
  <si>
    <t>MATHILDE GIFT</t>
  </si>
  <si>
    <t>Habesha Shawl (with tibeb) 70*200</t>
  </si>
  <si>
    <t>valentina</t>
  </si>
  <si>
    <t>Banchi</t>
  </si>
  <si>
    <t>Mesi</t>
  </si>
  <si>
    <t>100% cotton hand towel 50*200</t>
  </si>
  <si>
    <t>DB</t>
  </si>
  <si>
    <t>SACHA</t>
  </si>
  <si>
    <t>AMIELIE</t>
  </si>
  <si>
    <t>eliza</t>
  </si>
  <si>
    <t>mARIT</t>
  </si>
  <si>
    <t>Danakil 45*200</t>
  </si>
  <si>
    <t>Amilie</t>
  </si>
  <si>
    <t>Beach towel</t>
  </si>
  <si>
    <t>New Arrivals 25/06/2026</t>
  </si>
  <si>
    <t>oshoon friend</t>
  </si>
  <si>
    <t>table runner ,fetel(ribbons,rainbow,ocean blue)</t>
  </si>
  <si>
    <t>Dan</t>
  </si>
  <si>
    <t>Zen Team</t>
  </si>
  <si>
    <t>Total Payment</t>
  </si>
  <si>
    <t>Elen</t>
  </si>
  <si>
    <t>dani mijin gift</t>
  </si>
  <si>
    <t>Elen Gift</t>
  </si>
  <si>
    <t xml:space="preserve">Singe </t>
  </si>
  <si>
    <t>osshon friend</t>
  </si>
  <si>
    <t>Judith shawl 75*210</t>
  </si>
  <si>
    <t xml:space="preserve">Dani </t>
  </si>
  <si>
    <t>jana</t>
  </si>
  <si>
    <t>Belt Double Side</t>
  </si>
  <si>
    <t xml:space="preserve">Yamlaksira </t>
  </si>
  <si>
    <t>timket shawl</t>
  </si>
  <si>
    <t>joy shawl 70*200</t>
  </si>
  <si>
    <t>Belt One Side</t>
  </si>
  <si>
    <t>addis</t>
  </si>
  <si>
    <t>Card Holder Fold</t>
  </si>
  <si>
    <t>Passport Holder</t>
  </si>
  <si>
    <t>Phone Case Bag</t>
  </si>
  <si>
    <t>Debora Shawl</t>
  </si>
  <si>
    <t>queen taita</t>
  </si>
  <si>
    <t>beach towel 100*180</t>
  </si>
  <si>
    <t>Amielie</t>
  </si>
  <si>
    <t>yeshishawl 70*200 cm</t>
  </si>
  <si>
    <t>Jana</t>
  </si>
  <si>
    <t>Miji</t>
  </si>
  <si>
    <t>Signe</t>
  </si>
  <si>
    <t>Anglika</t>
  </si>
  <si>
    <t>Dani</t>
  </si>
  <si>
    <t>Oshoon frend</t>
  </si>
  <si>
    <t>Elegance</t>
  </si>
  <si>
    <t>Elsabeth Oil &amp; Soap</t>
  </si>
  <si>
    <t>Coffee Soap</t>
  </si>
  <si>
    <t>David - 1</t>
  </si>
  <si>
    <t>Rosemary Soap</t>
  </si>
  <si>
    <t>Bitter Leaf Soap</t>
  </si>
  <si>
    <t>Tesfaye Zen</t>
  </si>
  <si>
    <t>Unit</t>
  </si>
  <si>
    <t>Quantity</t>
  </si>
  <si>
    <t>Line Total</t>
  </si>
  <si>
    <t>Frankincense Soap</t>
  </si>
  <si>
    <t>Dany/Marit</t>
  </si>
  <si>
    <t>Fokane-1</t>
  </si>
  <si>
    <t>marta- 2</t>
  </si>
  <si>
    <t>Receivable</t>
  </si>
  <si>
    <t>Rosemary Oil</t>
  </si>
  <si>
    <t>Marta</t>
  </si>
  <si>
    <t>Yohannes</t>
  </si>
  <si>
    <t>Frankincense Oil</t>
  </si>
  <si>
    <t>Dany/Marit-1</t>
  </si>
  <si>
    <t>Betty</t>
  </si>
  <si>
    <t>Telebirr</t>
  </si>
  <si>
    <t>Lucy</t>
  </si>
  <si>
    <t>Bitter Leaf Oil</t>
  </si>
  <si>
    <t>Dany</t>
  </si>
  <si>
    <t>Antonniette</t>
  </si>
  <si>
    <t>Cash with resto</t>
  </si>
  <si>
    <t>Coffee Oil</t>
  </si>
  <si>
    <t>David</t>
  </si>
  <si>
    <t>Sara</t>
  </si>
  <si>
    <t>Jimmy fnd</t>
  </si>
  <si>
    <t>Cash $</t>
  </si>
  <si>
    <t>WC</t>
  </si>
  <si>
    <t>Coffee Scrap</t>
  </si>
  <si>
    <t>Herbal Tea</t>
  </si>
  <si>
    <t>Kaftan Small</t>
  </si>
  <si>
    <t xml:space="preserve">Brown ladies bag </t>
  </si>
  <si>
    <t>Nora Shawl</t>
  </si>
  <si>
    <t>17/02/26</t>
  </si>
  <si>
    <t>Silk Mul/Eri Thick Scarf 30/160</t>
  </si>
  <si>
    <t>zen jana gift</t>
  </si>
  <si>
    <t>telba scarf 45*200cm</t>
  </si>
  <si>
    <t>Queen Taitu Shawl 70*200</t>
  </si>
  <si>
    <t>Facil Scarf</t>
  </si>
  <si>
    <t>Cotton Bath towel 100*180</t>
  </si>
  <si>
    <t>Danakil Scarf 45*200</t>
  </si>
  <si>
    <t>Total Sales</t>
  </si>
  <si>
    <t>17/8/26</t>
  </si>
  <si>
    <t>Zenach Pillow</t>
  </si>
  <si>
    <t>room</t>
  </si>
  <si>
    <t>Akobo Cushion</t>
  </si>
  <si>
    <t xml:space="preserve">Pattern ladies bag </t>
  </si>
  <si>
    <t>Tow Tone pillow 50*50</t>
  </si>
  <si>
    <t>Bath Mat 60*90cm</t>
  </si>
  <si>
    <t>Tote bag</t>
  </si>
  <si>
    <t>Tusser Shawl</t>
  </si>
  <si>
    <t>17 inch laptop bag</t>
  </si>
  <si>
    <t>Item</t>
  </si>
  <si>
    <t xml:space="preserve">14 inch laptop bag </t>
  </si>
  <si>
    <t>timket Shawl 70*200</t>
  </si>
  <si>
    <t>Dani Shawl 70*200</t>
  </si>
  <si>
    <t>Stella Shawl 70*200</t>
  </si>
  <si>
    <t>Fasil Shawl</t>
  </si>
  <si>
    <t>Debora Shawl 70*200</t>
  </si>
  <si>
    <t>Wubet Shawl 70*200cm</t>
  </si>
  <si>
    <t>Martha gift</t>
  </si>
  <si>
    <t>900 + 15%</t>
  </si>
  <si>
    <t>CBE Transfer (3500)</t>
  </si>
  <si>
    <t>Matthias Gift</t>
  </si>
  <si>
    <t>Mela Studio</t>
  </si>
  <si>
    <t>2500 + 15%</t>
  </si>
  <si>
    <t>1 expired</t>
  </si>
  <si>
    <t>Lamp Nikisat</t>
  </si>
  <si>
    <t>Lamp</t>
  </si>
  <si>
    <t>1100 + 15%</t>
  </si>
  <si>
    <t>price</t>
  </si>
  <si>
    <t>waffel hand towel</t>
  </si>
  <si>
    <t>Hand towel</t>
  </si>
  <si>
    <t>2000 + 15%</t>
  </si>
  <si>
    <t>zen resturant bath room</t>
  </si>
  <si>
    <t>Girmay wife</t>
  </si>
  <si>
    <t>almaz hand towel</t>
  </si>
  <si>
    <t>Zinach throw</t>
  </si>
  <si>
    <t>beach towel</t>
  </si>
  <si>
    <t>wolde</t>
  </si>
  <si>
    <t xml:space="preserve">David </t>
  </si>
  <si>
    <t>Anna Throw</t>
  </si>
  <si>
    <t>Desta throw</t>
  </si>
  <si>
    <t>winter scarf</t>
  </si>
  <si>
    <t>matthias</t>
  </si>
  <si>
    <t>yohannes scarf</t>
  </si>
  <si>
    <t>flash shawl</t>
  </si>
  <si>
    <t>queen taitu shawl</t>
  </si>
  <si>
    <t>facil scarf</t>
  </si>
  <si>
    <t>girmay</t>
  </si>
  <si>
    <t>Habesha showl</t>
  </si>
  <si>
    <t>Dani shawl</t>
  </si>
  <si>
    <t>tabita shawl</t>
  </si>
  <si>
    <t>Fasil shawl</t>
  </si>
  <si>
    <t>Debora shawl</t>
  </si>
  <si>
    <t>Queen cllon scarf</t>
  </si>
  <si>
    <t>desta showl</t>
  </si>
  <si>
    <t>DESCRIBTION</t>
  </si>
  <si>
    <t xml:space="preserve">Price </t>
  </si>
  <si>
    <t xml:space="preserve">kokeb scarf </t>
  </si>
  <si>
    <t xml:space="preserve">sarong </t>
  </si>
  <si>
    <t xml:space="preserve">cotton fetel naokin </t>
  </si>
  <si>
    <t>New arrival (07/07/2026)</t>
  </si>
  <si>
    <t xml:space="preserve">Almaz hand towel </t>
  </si>
  <si>
    <t xml:space="preserve">cotten habd towel </t>
  </si>
  <si>
    <t xml:space="preserve">Min bag sabhar </t>
  </si>
  <si>
    <t xml:space="preserve">Desta shawl </t>
  </si>
  <si>
    <t>Queen taitu shawl</t>
  </si>
  <si>
    <t xml:space="preserve">Yeshi shawl </t>
  </si>
  <si>
    <t xml:space="preserve">Degu scarf </t>
  </si>
  <si>
    <t xml:space="preserve">Deborah shawl </t>
  </si>
  <si>
    <t xml:space="preserve">Telba scarf </t>
  </si>
  <si>
    <t xml:space="preserve">Silk Mul/ Eric thick scarf </t>
  </si>
  <si>
    <t xml:space="preserve">Petra scarf </t>
  </si>
  <si>
    <t xml:space="preserve">Air shawl </t>
  </si>
  <si>
    <t xml:space="preserve">Linen shawl </t>
  </si>
  <si>
    <t xml:space="preserve">Maraki Shawl </t>
  </si>
  <si>
    <t>Silk mul / Eri thin shawl</t>
  </si>
  <si>
    <t>Judith shawl</t>
  </si>
  <si>
    <t>Describtion</t>
  </si>
  <si>
    <t xml:space="preserve">Amount </t>
  </si>
  <si>
    <t>Air Shawl</t>
  </si>
  <si>
    <t xml:space="preserve">Fransika Friend </t>
  </si>
  <si>
    <t>Linen Shawl</t>
  </si>
  <si>
    <t>cash</t>
  </si>
  <si>
    <t>zen cust</t>
  </si>
  <si>
    <t xml:space="preserve"> </t>
  </si>
  <si>
    <t>Air Shawel scarf</t>
  </si>
  <si>
    <t>Account</t>
  </si>
  <si>
    <t xml:space="preserve">Andie </t>
  </si>
  <si>
    <t xml:space="preserve">Degu Scard </t>
  </si>
  <si>
    <t>Petra Scarf</t>
  </si>
  <si>
    <t xml:space="preserve">Describtion </t>
  </si>
  <si>
    <t xml:space="preserve">Buyer </t>
  </si>
  <si>
    <t xml:space="preserve">Small Bag </t>
  </si>
  <si>
    <t xml:space="preserve">Zen Team </t>
  </si>
  <si>
    <t xml:space="preserve">Gift for Marianne </t>
  </si>
  <si>
    <t>Scarf</t>
  </si>
  <si>
    <t xml:space="preserve"> Jerry Zen Cust </t>
  </si>
  <si>
    <t xml:space="preserve">Gify for Yimeng </t>
  </si>
  <si>
    <t xml:space="preserve">sebhar scarf </t>
  </si>
  <si>
    <t>gift for ewa</t>
  </si>
  <si>
    <t xml:space="preserve">gift for monica </t>
  </si>
  <si>
    <t xml:space="preserve">More total </t>
  </si>
  <si>
    <t xml:space="preserve">zion </t>
  </si>
  <si>
    <t xml:space="preserve">Jenny zen </t>
  </si>
  <si>
    <t xml:space="preserve">Gift for xiuizi </t>
  </si>
  <si>
    <t>Meskerem Zen cust</t>
  </si>
  <si>
    <t>Bere Har Scarf</t>
  </si>
  <si>
    <t>Sami Choma</t>
  </si>
  <si>
    <t>Sabahar Scarf</t>
  </si>
  <si>
    <t>Febrary 18,2025 - April 30,2025</t>
  </si>
  <si>
    <t>Sebhar Scarf</t>
  </si>
  <si>
    <t>Pos/Hibret</t>
  </si>
  <si>
    <t>Uyanga/ren</t>
  </si>
  <si>
    <t>Meron Gift</t>
  </si>
  <si>
    <t>Viola Gift</t>
  </si>
  <si>
    <t>POS with rest</t>
  </si>
  <si>
    <t>Meron/Kibret Gift</t>
  </si>
  <si>
    <t>Awash Transfer</t>
  </si>
  <si>
    <t>Mathias</t>
  </si>
  <si>
    <t>Pos/zemen</t>
  </si>
  <si>
    <t>Ground Beans More Coffee 250g</t>
  </si>
  <si>
    <t>Valerie</t>
  </si>
  <si>
    <t>Hand towel Sabhar</t>
  </si>
  <si>
    <t>CBE/Transfer</t>
  </si>
  <si>
    <t>Walking Customer</t>
  </si>
  <si>
    <t>Gift For Florian</t>
  </si>
  <si>
    <t>Stefan</t>
  </si>
  <si>
    <t>Meron</t>
  </si>
  <si>
    <t>PAID</t>
  </si>
  <si>
    <t>Roasted More Coffee 250g</t>
  </si>
  <si>
    <t>Dany Office Bathroom</t>
  </si>
  <si>
    <t>Felicitas</t>
  </si>
  <si>
    <t>Carole Gift</t>
  </si>
  <si>
    <t>Ground Beans More Coffee 500g</t>
  </si>
  <si>
    <t>Florian Gift</t>
  </si>
  <si>
    <t>Roasted More Coffee 500g</t>
  </si>
  <si>
    <t>Felicitas Fnd</t>
  </si>
  <si>
    <t xml:space="preserve">Dom </t>
  </si>
  <si>
    <t>Ground Beans More Coffee 1kg</t>
  </si>
  <si>
    <t>Sarah -7</t>
  </si>
  <si>
    <t>Bedside Mat</t>
  </si>
  <si>
    <t>Roasted More Coffee 1kg</t>
  </si>
  <si>
    <t>Gift for antionette</t>
  </si>
  <si>
    <t xml:space="preserve">Tiyo's Wear </t>
  </si>
  <si>
    <t>27/11/2025</t>
  </si>
  <si>
    <t>1kg</t>
  </si>
  <si>
    <t>500kg</t>
  </si>
  <si>
    <t>250kg</t>
  </si>
  <si>
    <t>Profit</t>
  </si>
  <si>
    <t>Saphar Scarp</t>
  </si>
  <si>
    <t>28/11/2025</t>
  </si>
  <si>
    <t>CBE with rest</t>
  </si>
  <si>
    <t>D.B</t>
  </si>
  <si>
    <t>With Resto</t>
  </si>
  <si>
    <t>Renata Sucto</t>
  </si>
  <si>
    <t>Desire</t>
  </si>
  <si>
    <t>CBE</t>
  </si>
  <si>
    <t>Sami Biggy</t>
  </si>
  <si>
    <t>Tiyos Scarp</t>
  </si>
  <si>
    <t>Velten</t>
  </si>
  <si>
    <t>Emma</t>
  </si>
  <si>
    <t>Marieke</t>
  </si>
  <si>
    <t>Matthieu</t>
  </si>
  <si>
    <t>With rest bill</t>
  </si>
  <si>
    <t>Giuseppe</t>
  </si>
  <si>
    <t>Barbara</t>
  </si>
  <si>
    <t>Xmass Gift</t>
  </si>
  <si>
    <t>Sarah</t>
  </si>
  <si>
    <t xml:space="preserve">Movie Night </t>
  </si>
  <si>
    <t>Fokanie</t>
  </si>
  <si>
    <t>Coats</t>
  </si>
  <si>
    <t>26/12/2025</t>
  </si>
  <si>
    <t xml:space="preserve">Christoph </t>
  </si>
  <si>
    <t>Inventory (23/09/2025)</t>
  </si>
  <si>
    <t>Timran Wc</t>
  </si>
  <si>
    <t>Caroline</t>
  </si>
  <si>
    <t>Tsion</t>
  </si>
  <si>
    <t>Telebirr with resto</t>
  </si>
  <si>
    <t xml:space="preserve">Gayll </t>
  </si>
  <si>
    <t>POS Hibret with resto</t>
  </si>
  <si>
    <t>30/3/2025</t>
  </si>
  <si>
    <t xml:space="preserve">Woyne </t>
  </si>
  <si>
    <t>Brooke Lyc</t>
  </si>
  <si>
    <t>Keren</t>
  </si>
  <si>
    <t>Soren Gift</t>
  </si>
  <si>
    <t>Gayll</t>
  </si>
  <si>
    <t>Pos Hibret (With resto)</t>
  </si>
  <si>
    <t>Gift Halyet</t>
  </si>
  <si>
    <t>Robinah</t>
  </si>
  <si>
    <t>Pos Hibret with resto</t>
  </si>
  <si>
    <t xml:space="preserve">Pos Hibret </t>
  </si>
  <si>
    <t>Beach Towel</t>
  </si>
  <si>
    <t>Oct 09th,2025</t>
  </si>
  <si>
    <t>Soren</t>
  </si>
  <si>
    <t>Scandinavian Coffee</t>
  </si>
  <si>
    <t>Mulugeta Lycee</t>
  </si>
  <si>
    <t>Dany-2</t>
  </si>
  <si>
    <t>Ethio Jazz</t>
  </si>
  <si>
    <t>Antonniete</t>
  </si>
  <si>
    <t>Christoph</t>
  </si>
  <si>
    <t>$</t>
  </si>
  <si>
    <t>Alice Gift</t>
  </si>
  <si>
    <t xml:space="preserve">Miraf </t>
  </si>
  <si>
    <t xml:space="preserve">Soren </t>
  </si>
  <si>
    <t>Sarah xmass Gift</t>
  </si>
  <si>
    <t>Hand Towel</t>
  </si>
  <si>
    <t>Sabhar Gabi</t>
  </si>
  <si>
    <t>Bedside Mat(3 green + 1 blue)</t>
  </si>
  <si>
    <t>Cushion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</si>
  <si>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</si>
  <si>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Marieke </t>
  </si>
  <si>
    <t xml:space="preserve">Bath Towel </t>
  </si>
  <si>
    <t>Sabhar Throw</t>
  </si>
  <si>
    <t xml:space="preserve">Cash </t>
  </si>
  <si>
    <t>New Arrivals</t>
  </si>
  <si>
    <t>tilla product</t>
  </si>
  <si>
    <t>no</t>
  </si>
  <si>
    <t>Item Description</t>
  </si>
  <si>
    <t>item code</t>
  </si>
  <si>
    <t>unit price(Tilla)</t>
  </si>
  <si>
    <t xml:space="preserve">zen price </t>
  </si>
  <si>
    <t>buyer</t>
  </si>
  <si>
    <t>cocoa butter 100ML</t>
  </si>
  <si>
    <t>Shea butter cream 100 ml</t>
  </si>
  <si>
    <t>fifi 470</t>
  </si>
  <si>
    <t>Hair Shampoo 300 ml</t>
  </si>
  <si>
    <t>Maya Shawl</t>
  </si>
  <si>
    <t xml:space="preserve">Hanno </t>
  </si>
  <si>
    <t>shea butter cream 100ml</t>
  </si>
  <si>
    <t>Hair Mayonnaise 75ml</t>
  </si>
  <si>
    <t xml:space="preserve">Zaynura </t>
  </si>
  <si>
    <t>shea butter craem 100ml</t>
  </si>
  <si>
    <t>Hair Mayonnaise 200ml</t>
  </si>
  <si>
    <t xml:space="preserve">Danny B </t>
  </si>
  <si>
    <t>shea butter cream  100ml, shampo 300ml, mayonise 200ml</t>
  </si>
  <si>
    <t>Hair conditiner 300ml</t>
  </si>
  <si>
    <t>Merry</t>
  </si>
  <si>
    <t>cocoa butter</t>
  </si>
  <si>
    <t>body wash 500ml</t>
  </si>
  <si>
    <t xml:space="preserve">Melala </t>
  </si>
  <si>
    <t>antonnete,Nyambura ( Rest bill)</t>
  </si>
  <si>
    <t>coconat oil 74ml</t>
  </si>
  <si>
    <t>Fere (Castel)</t>
  </si>
  <si>
    <t>betty</t>
  </si>
  <si>
    <t>hair mayonnaise 75ml</t>
  </si>
  <si>
    <t>Meron( Rest bill)</t>
  </si>
  <si>
    <t>Pinwheel Shawl</t>
  </si>
  <si>
    <t>cocoa cream 100ml</t>
  </si>
  <si>
    <t>-</t>
  </si>
  <si>
    <t>WC *2( Cash)</t>
  </si>
  <si>
    <t>Nan Zhang</t>
  </si>
  <si>
    <t>shea body loction 200 ml</t>
  </si>
  <si>
    <t>Maraki Shawl 70*200</t>
  </si>
  <si>
    <t>shea body loction 200ml</t>
  </si>
  <si>
    <t>cocoa butter 100ml</t>
  </si>
  <si>
    <t>KOKO</t>
  </si>
  <si>
    <t xml:space="preserve">POS HIBRET </t>
  </si>
  <si>
    <t>Wubet Shawl 70*200</t>
  </si>
  <si>
    <t>Kokeb Scarf</t>
  </si>
  <si>
    <t>Azeb</t>
  </si>
  <si>
    <t>Tilla Product</t>
  </si>
  <si>
    <t>Nora Cotton Shawl 70*200</t>
  </si>
  <si>
    <t>Ari Shawl 70*200</t>
  </si>
  <si>
    <t xml:space="preserve">Kalon Scarf Sales </t>
  </si>
  <si>
    <t xml:space="preserve">Buyer's Name </t>
  </si>
  <si>
    <t>Number of Products Received</t>
  </si>
  <si>
    <t>Price Given to Zen</t>
  </si>
  <si>
    <t>Qiman Zhang</t>
  </si>
  <si>
    <t>.</t>
  </si>
  <si>
    <t>Debora Shawl 70 x 200</t>
  </si>
  <si>
    <t>2300 each</t>
  </si>
  <si>
    <t>Judith Shawl</t>
  </si>
  <si>
    <t>Coasters</t>
  </si>
  <si>
    <t>Item Code</t>
  </si>
  <si>
    <t>Unit Price(Tilla)</t>
  </si>
  <si>
    <t>Total Price</t>
  </si>
  <si>
    <t xml:space="preserve">Zen Price </t>
  </si>
  <si>
    <t>Tila Coca Butter 100ml</t>
  </si>
  <si>
    <t>...</t>
  </si>
  <si>
    <t>Telba Scarf 45*200</t>
  </si>
  <si>
    <t>Marc</t>
  </si>
  <si>
    <t>account</t>
  </si>
  <si>
    <t>2600 each</t>
  </si>
  <si>
    <t>Bere shint scarf</t>
  </si>
  <si>
    <t>Yanina Gift</t>
  </si>
  <si>
    <t>Meskerem shawl</t>
  </si>
  <si>
    <t>Yabsira SIHA</t>
  </si>
  <si>
    <t>Adina Shawl</t>
  </si>
  <si>
    <t>OSSHON FRIENDS</t>
  </si>
  <si>
    <t>Linen shawl 70*200/Telba Shawl</t>
  </si>
  <si>
    <t>..</t>
  </si>
  <si>
    <t>Nora cotton shawl 70*200</t>
  </si>
  <si>
    <t>ANGLIKA</t>
  </si>
  <si>
    <t>ACCOUNT</t>
  </si>
  <si>
    <t>Eliza sister</t>
  </si>
  <si>
    <t>pos</t>
  </si>
  <si>
    <t>Desta Shawl 70*200</t>
  </si>
  <si>
    <t>walking guest</t>
  </si>
  <si>
    <t>Fasil Silk Shawl</t>
  </si>
  <si>
    <t>Tila Coca Butter 200ml</t>
  </si>
  <si>
    <t>cbe transfer</t>
  </si>
  <si>
    <t>Firehiwot</t>
  </si>
  <si>
    <t>Maya Scarf</t>
  </si>
  <si>
    <t>Coca Cream 100ml</t>
  </si>
  <si>
    <t>Merry zen</t>
  </si>
  <si>
    <t>Pinwheel shawl</t>
  </si>
  <si>
    <t>Coca Cream 200ml</t>
  </si>
  <si>
    <t>WC -H</t>
  </si>
  <si>
    <t xml:space="preserve">New Scarfs </t>
  </si>
  <si>
    <t>Merry *</t>
  </si>
  <si>
    <t>Shea Butter Cream 100ml</t>
  </si>
  <si>
    <t>Hani Koften</t>
  </si>
  <si>
    <t>Debora Shawl 70x200</t>
  </si>
  <si>
    <t>Winter Shawl</t>
  </si>
  <si>
    <t>Silk Queen Mennen Grey Scarp</t>
  </si>
  <si>
    <t>Linen Shawl 70*200/ Telba Shawl</t>
  </si>
  <si>
    <t>Desta Throw ( New Mechot)</t>
  </si>
  <si>
    <t>Shea Butter Cream 200ml</t>
  </si>
  <si>
    <t>Michot</t>
  </si>
  <si>
    <t>Tila Shea Body Lotion 75ml</t>
  </si>
  <si>
    <t>Katiya</t>
  </si>
  <si>
    <t>Sub Tota;</t>
  </si>
  <si>
    <t xml:space="preserve">surafel zen cust </t>
  </si>
  <si>
    <t>transfer</t>
  </si>
  <si>
    <t>Tila Shea Body Lotion 200ml</t>
  </si>
  <si>
    <t>Vat</t>
  </si>
  <si>
    <t>Tila Shea Body Lotion 300ml</t>
  </si>
  <si>
    <t xml:space="preserve">Sara </t>
  </si>
  <si>
    <t>Tila Shea Body Lotion 500ml</t>
  </si>
  <si>
    <t>Grand Total</t>
  </si>
  <si>
    <t>Hair Shampoo 300ml</t>
  </si>
  <si>
    <t>Hair Shampoo 500ml</t>
  </si>
  <si>
    <t>Merry *3</t>
  </si>
  <si>
    <t>Hair Conditioner 300ml</t>
  </si>
  <si>
    <t>Hair Conditioner 500ml</t>
  </si>
  <si>
    <t>Body Wash 300ml</t>
  </si>
  <si>
    <t>Body Wash 500ml</t>
  </si>
  <si>
    <t>Merry *2</t>
  </si>
  <si>
    <t>Coconut Oil 75ml</t>
  </si>
  <si>
    <t>Coconut Oil 200ml</t>
  </si>
  <si>
    <t>WC 2 Pcs</t>
  </si>
  <si>
    <t>Mesi 1</t>
  </si>
  <si>
    <t>lincoln</t>
  </si>
  <si>
    <t>bez A</t>
  </si>
  <si>
    <t>Sub Total</t>
  </si>
  <si>
    <t>VAT</t>
  </si>
  <si>
    <t>Inventory ( 29/07/2026)</t>
  </si>
  <si>
    <t>Deborah</t>
  </si>
  <si>
    <t xml:space="preserve">Gambella </t>
  </si>
  <si>
    <t>3 kg</t>
  </si>
  <si>
    <t>Kebrework (Sophie)</t>
  </si>
  <si>
    <t>Burtukan</t>
  </si>
  <si>
    <t>Zen</t>
  </si>
  <si>
    <t>Dom</t>
  </si>
  <si>
    <t>Pos / with rest</t>
  </si>
  <si>
    <t>Sheka</t>
  </si>
  <si>
    <t>3kg</t>
  </si>
  <si>
    <t>Simona</t>
  </si>
  <si>
    <t>5 kg</t>
  </si>
  <si>
    <t xml:space="preserve">NO </t>
  </si>
  <si>
    <t xml:space="preserve">Abel price </t>
  </si>
  <si>
    <t>Customer 1</t>
  </si>
  <si>
    <t>Customer 2</t>
  </si>
  <si>
    <t xml:space="preserve">Fanny Pack </t>
  </si>
  <si>
    <t xml:space="preserve">Passport Holder </t>
  </si>
  <si>
    <t>Yellow-Yimeng gift</t>
  </si>
  <si>
    <t>CBE- Blue</t>
  </si>
  <si>
    <t xml:space="preserve">Wallet/ card holder </t>
  </si>
  <si>
    <t>Roble Gift</t>
  </si>
  <si>
    <t xml:space="preserve">Phone bag </t>
  </si>
  <si>
    <t>Dopp kit</t>
  </si>
  <si>
    <t>2 s+l</t>
  </si>
  <si>
    <t>Small-David gift</t>
  </si>
  <si>
    <t>Bigger -Jessica gift</t>
  </si>
  <si>
    <t>Note book</t>
  </si>
  <si>
    <t>pad mouse</t>
  </si>
  <si>
    <t>Product type</t>
  </si>
  <si>
    <t>Type of Product</t>
  </si>
  <si>
    <t>Daniel Tesfaye</t>
  </si>
  <si>
    <t xml:space="preserve">Chocolate Chip </t>
  </si>
  <si>
    <t>Swathi</t>
  </si>
  <si>
    <t xml:space="preserve">add to account </t>
  </si>
  <si>
    <t>Number of Products</t>
  </si>
  <si>
    <t>Forever Young</t>
  </si>
  <si>
    <t>Thilo</t>
  </si>
  <si>
    <t>Immunity</t>
  </si>
  <si>
    <t>Digestion</t>
  </si>
  <si>
    <t>josephine</t>
  </si>
  <si>
    <t>27/8/23</t>
  </si>
  <si>
    <t xml:space="preserve">Daniel B </t>
  </si>
  <si>
    <t>Oatmeal/Chocolate chip</t>
  </si>
  <si>
    <t>5 Oatmeal Raisins</t>
  </si>
  <si>
    <t>Oatmeal</t>
  </si>
  <si>
    <t>5 Teff Chocolate Cookies</t>
  </si>
  <si>
    <t xml:space="preserve">Swathi </t>
  </si>
  <si>
    <t xml:space="preserve">Teff cookies </t>
  </si>
  <si>
    <t>5 Chocolate Chip</t>
  </si>
  <si>
    <t>Daniel tesfaye</t>
  </si>
  <si>
    <t>3 of them for trial</t>
  </si>
  <si>
    <t xml:space="preserve">TOTAL = 15 </t>
  </si>
  <si>
    <t>Nicolas</t>
  </si>
  <si>
    <t>?</t>
  </si>
  <si>
    <t>19/11/2022</t>
  </si>
  <si>
    <t>Elen Friend</t>
  </si>
  <si>
    <t>paid cash</t>
  </si>
  <si>
    <t>30/11/2022</t>
  </si>
  <si>
    <t>10 Oatmeal Raisins</t>
  </si>
  <si>
    <t xml:space="preserve"> 5 teff cookies</t>
  </si>
  <si>
    <t>5 chocolate chip</t>
  </si>
  <si>
    <t>paid</t>
  </si>
  <si>
    <t xml:space="preserve">ID </t>
  </si>
  <si>
    <t xml:space="preserve">price </t>
  </si>
  <si>
    <t xml:space="preserve">Big scarf </t>
  </si>
  <si>
    <t xml:space="preserve">Danny Zen </t>
  </si>
  <si>
    <t xml:space="preserve">Gift for Nicolas </t>
  </si>
  <si>
    <t xml:space="preserve">zen cust </t>
  </si>
  <si>
    <t xml:space="preserve">cash </t>
  </si>
  <si>
    <t xml:space="preserve">   </t>
  </si>
  <si>
    <t>ARAYA CANDLES</t>
  </si>
  <si>
    <t>No</t>
  </si>
  <si>
    <t>Types of candle</t>
  </si>
  <si>
    <t>Zen Price</t>
  </si>
  <si>
    <t>Araya price</t>
  </si>
  <si>
    <t>Remarks</t>
  </si>
  <si>
    <t>Julia</t>
  </si>
  <si>
    <t>Cement</t>
  </si>
  <si>
    <t>Shekla big</t>
  </si>
  <si>
    <t>Eliza</t>
  </si>
  <si>
    <t>Elen sister</t>
  </si>
  <si>
    <t>cement+nikel</t>
  </si>
  <si>
    <t xml:space="preserve">Date </t>
  </si>
  <si>
    <t>Mirriam</t>
  </si>
  <si>
    <t>WHISKEY CUP</t>
  </si>
  <si>
    <t>Faith</t>
  </si>
  <si>
    <t>Anna</t>
  </si>
  <si>
    <t>Small clay</t>
  </si>
  <si>
    <t>black</t>
  </si>
  <si>
    <t>blue cloud</t>
  </si>
  <si>
    <t>Big caramel</t>
  </si>
  <si>
    <t>Zion arts</t>
  </si>
  <si>
    <t>black small</t>
  </si>
  <si>
    <t>yordi's painted plate</t>
  </si>
  <si>
    <t>nikel</t>
  </si>
  <si>
    <t>red candle</t>
  </si>
  <si>
    <t>resturant guest</t>
  </si>
  <si>
    <t>cup cake</t>
  </si>
  <si>
    <t>wisky glass</t>
  </si>
  <si>
    <t>elen</t>
  </si>
  <si>
    <t>large tin</t>
  </si>
  <si>
    <t>Peanut butter big bites pack</t>
  </si>
  <si>
    <t>ola</t>
  </si>
  <si>
    <t>small tin</t>
  </si>
  <si>
    <t>small clay</t>
  </si>
  <si>
    <t xml:space="preserve">Oats/White honey big bites pack </t>
  </si>
  <si>
    <t>Zen-Yodit Gift</t>
  </si>
  <si>
    <t>black big</t>
  </si>
  <si>
    <t>Merry Holiday Gift</t>
  </si>
  <si>
    <t>Black Medium</t>
  </si>
  <si>
    <t>Sweet/Spicy big bites pack</t>
  </si>
  <si>
    <t>Xuzi</t>
  </si>
  <si>
    <t>Peanut butter small bites pack</t>
  </si>
  <si>
    <t>Xuzi friend</t>
  </si>
  <si>
    <t>Peanut butter small BAR pack</t>
  </si>
  <si>
    <t>sMALL aLMUNIUM vESSEL</t>
  </si>
  <si>
    <t xml:space="preserve">Oats/White honey small pack </t>
  </si>
  <si>
    <t xml:space="preserve">Oats/White honey BAR pack </t>
  </si>
  <si>
    <t>hanno</t>
  </si>
  <si>
    <t>Black small</t>
  </si>
  <si>
    <t>Sweet/Spicy small bites  pack</t>
  </si>
  <si>
    <t>Fabiola</t>
  </si>
  <si>
    <t>xuizi friend</t>
  </si>
  <si>
    <t xml:space="preserve">Lars </t>
  </si>
  <si>
    <t>Paid Sep 20</t>
  </si>
  <si>
    <t xml:space="preserve">xuizi friend </t>
  </si>
  <si>
    <t xml:space="preserve">araya candel </t>
  </si>
  <si>
    <t xml:space="preserve">xuizi </t>
  </si>
  <si>
    <t xml:space="preserve">araya candle </t>
  </si>
  <si>
    <t>560*3</t>
  </si>
  <si>
    <t>400*3</t>
  </si>
  <si>
    <t>Uniliver</t>
  </si>
  <si>
    <t>whisky Glass</t>
  </si>
  <si>
    <t>675*2</t>
  </si>
  <si>
    <t>600*2</t>
  </si>
  <si>
    <t xml:space="preserve">Black medium </t>
  </si>
  <si>
    <t>16/11</t>
  </si>
  <si>
    <t xml:space="preserve">Number of products </t>
  </si>
  <si>
    <t>Asmite Bread</t>
  </si>
  <si>
    <t>Afropian</t>
  </si>
  <si>
    <t>Types of Bread</t>
  </si>
  <si>
    <t>QTY</t>
  </si>
  <si>
    <t xml:space="preserve"> price</t>
  </si>
  <si>
    <t>Name</t>
  </si>
  <si>
    <t xml:space="preserve">Retail Price </t>
  </si>
  <si>
    <t>Zen Commission</t>
  </si>
  <si>
    <t>Silver plated dogon ring XL</t>
  </si>
  <si>
    <t>frech ass-cash</t>
  </si>
  <si>
    <t>15/1/23</t>
  </si>
  <si>
    <t>Afropian payment</t>
  </si>
  <si>
    <t>Brass Meskel ring XL</t>
  </si>
  <si>
    <t>Afropian sales</t>
  </si>
  <si>
    <t>Akan weight ring</t>
  </si>
  <si>
    <t>David-Account</t>
  </si>
  <si>
    <t>Square dogon ring brass</t>
  </si>
  <si>
    <t>llario necklace blue</t>
  </si>
  <si>
    <t>David -Account</t>
  </si>
  <si>
    <t>throne necklace purple</t>
  </si>
  <si>
    <t>Addis -transfer</t>
  </si>
  <si>
    <t>llario necklace red</t>
  </si>
  <si>
    <t>Cinzia-Cash</t>
  </si>
  <si>
    <t>mahlet earring</t>
  </si>
  <si>
    <t>Marit-Cash</t>
  </si>
  <si>
    <t>meskel silver drop earring</t>
  </si>
  <si>
    <t>iman earring</t>
  </si>
  <si>
    <t>cauri gold earring</t>
  </si>
  <si>
    <t>Chrome Akan drop earring</t>
  </si>
  <si>
    <t xml:space="preserve">Meskel turquoise earring </t>
  </si>
  <si>
    <t>Tsgerda-cash</t>
  </si>
  <si>
    <t>black clutch</t>
  </si>
  <si>
    <t>ankh beaded silver earring</t>
  </si>
  <si>
    <t>Cinzia-cash</t>
  </si>
  <si>
    <t>Balance payment</t>
  </si>
  <si>
    <t>bogolan infinty scarf red</t>
  </si>
  <si>
    <t>Zhang-cash</t>
  </si>
  <si>
    <t>Maasai Meskel necklace brown</t>
  </si>
  <si>
    <t>Purple tassel necklace</t>
  </si>
  <si>
    <t>Mask necklace brown</t>
  </si>
  <si>
    <t>Small Meskel necklace</t>
  </si>
  <si>
    <t>African print necklace</t>
  </si>
  <si>
    <t>Crysocolla bracelet</t>
  </si>
  <si>
    <t>Cauri silver earrings</t>
  </si>
  <si>
    <t>Yohannnes wood</t>
  </si>
  <si>
    <t>Yohhanes Price</t>
  </si>
  <si>
    <t>Serving Plate(3 set)</t>
  </si>
  <si>
    <t>800+1000+1200</t>
  </si>
  <si>
    <t>Jessica middle -1000</t>
  </si>
  <si>
    <t>Plate</t>
  </si>
  <si>
    <t>White big plate</t>
  </si>
  <si>
    <t>Black bowl</t>
  </si>
  <si>
    <t xml:space="preserve">Big Salad wooden bowl </t>
  </si>
  <si>
    <t>2200*4</t>
  </si>
  <si>
    <t>Dani-1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</si>
</sst>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/dd/yy"/>
    <numFmt numFmtId="165" formatCode="mmmm dd,yyyy"/>
    <numFmt numFmtId="166" formatCode="mmmm d,yyyy"/>
    <numFmt numFmtId="167" formatCode="mm/dd/yyyy"/>
    <numFmt numFmtId="168" formatCode="m/d/yyyy"/>
    <numFmt numFmtId="169" formatCode="m/d/yy"/>
    <numFmt numFmtId="170" formatCode="mmm d"/>
    <numFmt numFmtId="171" formatCode="mmmm d"/>
    <numFmt numFmtId="172" formatCode="mmm/d/yy"/>
  </numFmts>
  <fonts count="19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  <scheme val="minor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libri"/>
      <scheme val="minor"/>
    </font>
    <font>
      <sz val="11.0"/>
      <color rgb="FF1F1F1F"/>
      <name val="&quot;Google Sans&quot;"/>
    </font>
    <font>
      <b/>
      <sz val="13.0"/>
      <color theme="1"/>
      <name val="Calibri"/>
      <scheme val="minor"/>
    </font>
    <font>
      <sz val="10.0"/>
      <color theme="1"/>
      <name val="Times New Roman"/>
    </font>
    <font>
      <sz val="12.0"/>
      <color theme="1"/>
      <name val="Calibri"/>
      <scheme val="minor"/>
    </font>
    <font>
      <sz val="10.0"/>
      <color rgb="FF1F1F1F"/>
      <name val="Comic Sans MS"/>
    </font>
    <font>
      <b/>
      <sz val="12.0"/>
      <color theme="1"/>
      <name val="Calibri"/>
    </font>
    <font>
      <b/>
      <i/>
      <color theme="1"/>
      <name val="Calibri"/>
      <scheme val="minor"/>
    </font>
    <font>
      <color theme="1"/>
      <name val="Times New Roman"/>
    </font>
    <font>
      <sz val="12.0"/>
      <color theme="1"/>
      <name val="Times New Roman"/>
    </font>
    <font>
      <b/>
      <sz val="11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A61C00"/>
        <bgColor rgb="FFA61C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shrinkToFit="0" vertical="bottom" wrapText="0"/>
    </xf>
    <xf borderId="2" fillId="3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1" fillId="0" fontId="5" numFmtId="0" xfId="0" applyBorder="1" applyFont="1"/>
    <xf borderId="0" fillId="0" fontId="2" numFmtId="0" xfId="0" applyAlignment="1" applyFont="1">
      <alignment horizontal="center" shrinkToFit="0" vertical="bottom" wrapText="0"/>
    </xf>
    <xf borderId="1" fillId="2" fontId="6" numFmtId="0" xfId="0" applyAlignment="1" applyBorder="1" applyFill="1" applyFont="1">
      <alignment horizontal="center" readingOrder="0" shrinkToFit="0" vertical="bottom" wrapText="0"/>
    </xf>
    <xf borderId="4" fillId="0" fontId="4" numFmtId="0" xfId="0" applyBorder="1" applyFont="1"/>
    <xf borderId="1" fillId="3" fontId="1" numFmtId="0" xfId="0" applyAlignment="1" applyBorder="1" applyFill="1" applyFont="1">
      <alignment horizontal="center" readingOrder="0"/>
    </xf>
    <xf borderId="0" fillId="0" fontId="5" numFmtId="0" xfId="0" applyFont="1"/>
    <xf borderId="1" fillId="2" fontId="1" numFmtId="0" xfId="0" applyAlignment="1" applyBorder="1" applyFill="1" applyFont="1">
      <alignment readingOrder="0"/>
    </xf>
    <xf borderId="1" fillId="3" fontId="5" numFmtId="0" xfId="0" applyBorder="1" applyFill="1" applyFont="1"/>
    <xf borderId="5" fillId="4" fontId="2" numFmtId="0" xfId="0" applyAlignment="1" applyBorder="1" applyFill="1" applyFont="1">
      <alignment horizontal="center" shrinkToFit="0" vertical="bottom" wrapText="0"/>
    </xf>
    <xf borderId="1" fillId="2" fontId="1" numFmtId="4" xfId="0" applyAlignment="1" applyBorder="1" applyFill="1" applyFont="1" applyNumberFormat="1">
      <alignment readingOrder="0"/>
    </xf>
    <xf borderId="1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5" numFmtId="4" xfId="0" applyAlignment="1" applyBorder="1" applyFont="1" applyNumberFormat="1">
      <alignment readingOrder="0"/>
    </xf>
    <xf borderId="5" fillId="4" fontId="2" numFmtId="0" xfId="0" applyAlignment="1" applyBorder="1" applyFill="1" applyFont="1">
      <alignment readingOrder="0" shrinkToFit="0" vertical="bottom" wrapText="0"/>
    </xf>
    <xf borderId="1" fillId="0" fontId="0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4" xfId="0" applyBorder="1" applyFont="1" applyNumberFormat="1"/>
    <xf borderId="1" fillId="0" fontId="7" numFmtId="0" xfId="0" applyAlignment="1" applyBorder="1" applyFont="1">
      <alignment horizontal="right"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5" fontId="0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8" numFmtId="4" xfId="0" applyBorder="1" applyFont="1" applyNumberFormat="1"/>
    <xf borderId="6" fillId="0" fontId="7" numFmtId="0" xfId="0" applyAlignment="1" applyBorder="1" applyFont="1">
      <alignment horizontal="right" readingOrder="0" shrinkToFit="0" vertical="bottom" wrapText="0"/>
    </xf>
    <xf borderId="0" fillId="5" fontId="9" numFmtId="0" xfId="0" applyAlignment="1" applyFill="1" applyFont="1">
      <alignment readingOrder="0"/>
    </xf>
    <xf borderId="0" fillId="0" fontId="5" numFmtId="4" xfId="0" applyFont="1" applyNumberFormat="1"/>
    <xf borderId="7" fillId="0" fontId="7" numFmtId="0" xfId="0" applyAlignment="1" applyBorder="1" applyFont="1">
      <alignment horizontal="right" readingOrder="0" shrinkToFit="0" vertical="bottom" wrapText="0"/>
    </xf>
    <xf borderId="1" fillId="5" fontId="5" numFmtId="4" xfId="0" applyAlignment="1" applyBorder="1" applyFill="1" applyFont="1" applyNumberFormat="1">
      <alignment readingOrder="0"/>
    </xf>
    <xf borderId="1" fillId="0" fontId="1" numFmtId="4" xfId="0" applyBorder="1" applyFont="1" applyNumberFormat="1"/>
    <xf borderId="1" fillId="0" fontId="10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5" fontId="5" numFmtId="0" xfId="0" applyAlignment="1" applyBorder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8" fillId="0" fontId="5" numFmtId="0" xfId="0" applyBorder="1" applyFont="1"/>
    <xf borderId="0" fillId="0" fontId="1" numFmtId="4" xfId="0" applyFont="1" applyNumberFormat="1"/>
    <xf borderId="1" fillId="6" fontId="2" numFmtId="0" xfId="0" applyAlignment="1" applyBorder="1" applyFill="1" applyFont="1">
      <alignment readingOrder="0" shrinkToFit="0" vertical="bottom" wrapText="0"/>
    </xf>
    <xf borderId="2" fillId="0" fontId="5" numFmtId="0" xfId="0" applyBorder="1" applyFont="1"/>
    <xf borderId="9" fillId="0" fontId="8" numFmtId="0" xfId="0" applyAlignment="1" applyBorder="1" applyFont="1">
      <alignment readingOrder="0"/>
    </xf>
    <xf borderId="9" fillId="0" fontId="8" numFmtId="4" xfId="0" applyBorder="1" applyFont="1" applyNumberFormat="1"/>
    <xf borderId="10" fillId="0" fontId="5" numFmtId="0" xfId="0" applyBorder="1" applyFont="1"/>
    <xf borderId="0" fillId="0" fontId="6" numFmtId="0" xfId="0" applyAlignment="1" applyFont="1">
      <alignment horizontal="center" shrinkToFit="0" vertical="bottom" wrapText="0"/>
    </xf>
    <xf borderId="10" fillId="0" fontId="10" numFmtId="4" xfId="0" applyBorder="1" applyFont="1" applyNumberFormat="1"/>
    <xf borderId="4" fillId="0" fontId="5" numFmtId="0" xfId="0" applyBorder="1" applyFont="1"/>
    <xf borderId="8" fillId="4" fontId="2" numFmtId="0" xfId="0" applyAlignment="1" applyBorder="1" applyFill="1" applyFont="1">
      <alignment horizontal="center" shrinkToFit="0" vertical="bottom" wrapText="0"/>
    </xf>
    <xf borderId="11" fillId="0" fontId="8" numFmtId="0" xfId="0" applyAlignment="1" applyBorder="1" applyFont="1">
      <alignment readingOrder="0"/>
    </xf>
    <xf borderId="8" fillId="4" fontId="2" numFmtId="0" xfId="0" applyAlignment="1" applyBorder="1" applyFill="1" applyFont="1">
      <alignment shrinkToFit="0" vertical="bottom" wrapText="0"/>
    </xf>
    <xf borderId="11" fillId="0" fontId="8" numFmtId="4" xfId="0" applyBorder="1" applyFont="1" applyNumberFormat="1"/>
    <xf borderId="8" fillId="4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vertical="bottom"/>
    </xf>
    <xf borderId="1" fillId="7" fontId="0" numFmtId="0" xfId="0" applyAlignment="1" applyBorder="1" applyFill="1" applyFont="1">
      <alignment readingOrder="0"/>
    </xf>
    <xf borderId="6" fillId="0" fontId="5" numFmtId="0" xfId="0" applyBorder="1" applyFont="1"/>
    <xf borderId="1" fillId="7" fontId="5" numFmtId="4" xfId="0" applyAlignment="1" applyBorder="1" applyFill="1" applyFont="1" applyNumberFormat="1">
      <alignment readingOrder="0"/>
    </xf>
    <xf borderId="6" fillId="0" fontId="2" numFmtId="0" xfId="0" applyAlignment="1" applyBorder="1" applyFont="1">
      <alignment horizontal="right" vertical="bottom"/>
    </xf>
    <xf borderId="6" fillId="0" fontId="5" numFmtId="0" xfId="0" applyAlignment="1" applyBorder="1" applyFont="1">
      <alignment readingOrder="0"/>
    </xf>
    <xf borderId="6" fillId="0" fontId="2" numFmtId="0" xfId="0" applyAlignment="1" applyBorder="1" applyFont="1">
      <alignment horizontal="right" readingOrder="0" vertical="bottom"/>
    </xf>
    <xf borderId="0" fillId="0" fontId="8" numFmtId="0" xfId="0" applyAlignment="1" applyFont="1">
      <alignment readingOrder="0"/>
    </xf>
    <xf borderId="6" fillId="6" fontId="5" numFmtId="0" xfId="0" applyAlignment="1" applyBorder="1" applyFill="1" applyFont="1">
      <alignment readingOrder="0"/>
    </xf>
    <xf borderId="1" fillId="0" fontId="11" numFmtId="0" xfId="0" applyAlignment="1" applyBorder="1" applyFont="1">
      <alignment horizontal="center" readingOrder="0"/>
    </xf>
    <xf borderId="1" fillId="6" fontId="5" numFmtId="0" xfId="0" applyAlignment="1" applyBorder="1" applyFill="1" applyFont="1">
      <alignment readingOrder="0"/>
    </xf>
    <xf borderId="1" fillId="0" fontId="6" numFmtId="0" xfId="0" applyAlignment="1" applyBorder="1" applyFont="1">
      <alignment horizontal="center" shrinkToFit="0" vertical="bottom" wrapText="0"/>
    </xf>
    <xf borderId="1" fillId="0" fontId="1" numFmtId="0" xfId="0" applyBorder="1" applyFont="1"/>
    <xf borderId="2" fillId="3" fontId="8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8" numFmtId="0" xfId="0" applyAlignment="1" applyBorder="1" applyFill="1" applyFont="1">
      <alignment horizontal="center" readingOrder="0"/>
    </xf>
    <xf borderId="1" fillId="8" fontId="7" numFmtId="0" xfId="0" applyAlignment="1" applyBorder="1" applyFill="1" applyFont="1">
      <alignment readingOrder="0" shrinkToFit="0" vertical="bottom" wrapText="0"/>
    </xf>
    <xf borderId="1" fillId="3" fontId="12" numFmtId="0" xfId="0" applyBorder="1" applyFill="1" applyFont="1"/>
    <xf borderId="1" fillId="3" fontId="5" numFmtId="0" xfId="0" applyAlignment="1" applyBorder="1" applyFill="1" applyFont="1">
      <alignment readingOrder="0"/>
    </xf>
    <xf borderId="2" fillId="8" fontId="7" numFmtId="0" xfId="0" applyAlignment="1" applyBorder="1" applyFill="1" applyFont="1">
      <alignment readingOrder="0" shrinkToFit="0" vertical="bottom" wrapText="0"/>
    </xf>
    <xf borderId="1" fillId="3" fontId="1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7" numFmtId="0" xfId="0" applyAlignment="1" applyBorder="1" applyFont="1">
      <alignment shrinkToFit="0" vertical="bottom" wrapText="0"/>
    </xf>
    <xf borderId="1" fillId="0" fontId="12" numFmtId="4" xfId="0" applyAlignment="1" applyBorder="1" applyFont="1" applyNumberFormat="1">
      <alignment readingOrder="0"/>
    </xf>
    <xf borderId="0" fillId="9" fontId="5" numFmtId="0" xfId="0" applyAlignment="1" applyFill="1" applyFont="1">
      <alignment horizontal="center" readingOrder="0"/>
    </xf>
    <xf borderId="1" fillId="0" fontId="12" numFmtId="0" xfId="0" applyBorder="1" applyFont="1"/>
    <xf borderId="0" fillId="3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5" fontId="12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1" fillId="0" fontId="5" numFmtId="4" xfId="0" applyAlignment="1" applyBorder="1" applyFont="1" applyNumberFormat="1">
      <alignment horizontal="right" readingOrder="0"/>
    </xf>
    <xf borderId="1" fillId="10" fontId="2" numFmtId="0" xfId="0" applyAlignment="1" applyBorder="1" applyFill="1" applyFont="1">
      <alignment horizontal="center" shrinkToFit="0" vertical="bottom" wrapText="0"/>
    </xf>
    <xf borderId="1" fillId="10" fontId="2" numFmtId="0" xfId="0" applyAlignment="1" applyBorder="1" applyFill="1" applyFont="1">
      <alignment horizontal="center" readingOrder="0" shrinkToFit="0" vertical="bottom" wrapText="0"/>
    </xf>
    <xf borderId="1" fillId="10" fontId="5" numFmtId="0" xfId="0" applyAlignment="1" applyBorder="1" applyFill="1" applyFont="1">
      <alignment readingOrder="0"/>
    </xf>
    <xf borderId="0" fillId="9" fontId="5" numFmtId="164" xfId="0" applyAlignment="1" applyFill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Font="1"/>
    <xf borderId="1" fillId="11" fontId="5" numFmtId="0" xfId="0" applyAlignment="1" applyBorder="1" applyFill="1" applyFont="1">
      <alignment readingOrder="0"/>
    </xf>
    <xf borderId="1" fillId="12" fontId="5" numFmtId="0" xfId="0" applyAlignment="1" applyBorder="1" applyFill="1" applyFont="1">
      <alignment readingOrder="0"/>
    </xf>
    <xf borderId="2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2" fontId="1" numFmtId="0" xfId="0" applyAlignment="1" applyBorder="1" applyFill="1" applyFont="1">
      <alignment horizontal="center" readingOrder="0"/>
    </xf>
    <xf borderId="1" fillId="0" fontId="2" numFmtId="4" xfId="0" applyAlignment="1" applyBorder="1" applyFont="1" applyNumberFormat="1">
      <alignment horizontal="right" vertical="bottom"/>
    </xf>
    <xf borderId="1" fillId="2" fontId="5" numFmtId="0" xfId="0" applyAlignment="1" applyBorder="1" applyFill="1" applyFont="1">
      <alignment horizontal="center"/>
    </xf>
    <xf borderId="1" fillId="0" fontId="2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horizontal="center"/>
    </xf>
    <xf borderId="1" fillId="2" fontId="5" numFmtId="0" xfId="0" applyBorder="1" applyFill="1" applyFont="1"/>
    <xf borderId="1" fillId="0" fontId="5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vertical="bottom"/>
    </xf>
    <xf borderId="1" fillId="0" fontId="5" numFmtId="0" xfId="0" applyAlignment="1" applyBorder="1" applyFont="1">
      <alignment horizontal="center"/>
    </xf>
    <xf borderId="1" fillId="0" fontId="5" numFmtId="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right" vertical="bottom"/>
    </xf>
    <xf borderId="0" fillId="0" fontId="5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0" fontId="5" numFmtId="4" xfId="0" applyAlignment="1" applyBorder="1" applyFont="1" applyNumberFormat="1">
      <alignment horizontal="center"/>
    </xf>
    <xf borderId="12" fillId="0" fontId="3" numFmtId="0" xfId="0" applyAlignment="1" applyBorder="1" applyFont="1">
      <alignment horizontal="center" readingOrder="0"/>
    </xf>
    <xf borderId="13" fillId="0" fontId="4" numFmtId="0" xfId="0" applyBorder="1" applyFont="1"/>
    <xf borderId="14" fillId="0" fontId="4" numFmtId="0" xfId="0" applyBorder="1" applyFont="1"/>
    <xf borderId="11" fillId="13" fontId="1" numFmtId="0" xfId="0" applyAlignment="1" applyBorder="1" applyFill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1" fillId="3" fontId="1" numFmtId="4" xfId="0" applyAlignment="1" applyBorder="1" applyFill="1" applyFont="1" applyNumberFormat="1">
      <alignment horizontal="center" readingOrder="0"/>
    </xf>
    <xf borderId="15" fillId="14" fontId="5" numFmtId="0" xfId="0" applyBorder="1" applyFill="1" applyFont="1"/>
    <xf borderId="0" fillId="5" fontId="5" numFmtId="0" xfId="0" applyFill="1" applyFont="1"/>
    <xf borderId="11" fillId="13" fontId="5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2" fontId="1" numFmtId="4" xfId="0" applyAlignment="1" applyBorder="1" applyFill="1" applyFont="1" applyNumberFormat="1">
      <alignment horizontal="center" readingOrder="0"/>
    </xf>
    <xf borderId="11" fillId="0" fontId="1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0" fillId="5" fontId="13" numFmtId="0" xfId="0" applyAlignment="1" applyFill="1" applyFont="1">
      <alignment readingOrder="0"/>
    </xf>
    <xf borderId="1" fillId="5" fontId="5" numFmtId="0" xfId="0" applyAlignment="1" applyBorder="1" applyFill="1" applyFont="1">
      <alignment horizontal="center" readingOrder="0"/>
    </xf>
    <xf borderId="6" fillId="0" fontId="5" numFmtId="4" xfId="0" applyAlignment="1" applyBorder="1" applyFont="1" applyNumberFormat="1">
      <alignment readingOrder="0"/>
    </xf>
    <xf borderId="4" fillId="0" fontId="5" numFmtId="0" xfId="0" applyAlignment="1" applyBorder="1" applyFont="1">
      <alignment readingOrder="0"/>
    </xf>
    <xf borderId="0" fillId="2" fontId="5" numFmtId="166" xfId="0" applyAlignment="1" applyFill="1" applyFont="1" applyNumberFormat="1">
      <alignment readingOrder="0"/>
    </xf>
    <xf borderId="16" fillId="0" fontId="1" numFmtId="0" xfId="0" applyAlignment="1" applyBorder="1" applyFont="1">
      <alignment horizontal="center" readingOrder="0"/>
    </xf>
    <xf borderId="1" fillId="5" fontId="1" numFmtId="4" xfId="0" applyAlignment="1" applyBorder="1" applyFill="1" applyFont="1" applyNumberFormat="1">
      <alignment horizontal="center" readingOrder="0"/>
    </xf>
    <xf borderId="1" fillId="5" fontId="5" numFmtId="0" xfId="0" applyBorder="1" applyFill="1" applyFont="1"/>
    <xf borderId="1" fillId="5" fontId="2" numFmtId="0" xfId="0" applyAlignment="1" applyBorder="1" applyFill="1" applyFont="1">
      <alignment horizontal="center" shrinkToFit="0" vertical="bottom" wrapText="0"/>
    </xf>
    <xf borderId="1" fillId="5" fontId="6" numFmtId="0" xfId="0" applyAlignment="1" applyBorder="1" applyFill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/>
    </xf>
    <xf borderId="0" fillId="5" fontId="2" numFmtId="0" xfId="0" applyAlignment="1" applyFill="1" applyFont="1">
      <alignment horizontal="center" shrinkToFit="0" vertical="bottom" wrapText="0"/>
    </xf>
    <xf borderId="0" fillId="5" fontId="6" numFmtId="0" xfId="0" applyAlignment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/>
    </xf>
    <xf borderId="0" fillId="5" fontId="1" numFmtId="4" xfId="0" applyAlignment="1" applyFill="1" applyFont="1" applyNumberFormat="1">
      <alignment horizontal="center" readingOrder="0"/>
    </xf>
    <xf borderId="0" fillId="2" fontId="8" numFmtId="0" xfId="0" applyAlignment="1" applyFill="1" applyFont="1">
      <alignment readingOrder="0"/>
    </xf>
    <xf borderId="0" fillId="5" fontId="5" numFmtId="0" xfId="0" applyAlignment="1" applyFill="1" applyFont="1">
      <alignment horizontal="center"/>
    </xf>
    <xf borderId="17" fillId="0" fontId="5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 shrinkToFit="0" vertical="bottom" wrapText="0"/>
    </xf>
    <xf borderId="0" fillId="15" fontId="5" numFmtId="0" xfId="0" applyAlignment="1" applyFill="1" applyFont="1">
      <alignment readingOrder="0"/>
    </xf>
    <xf borderId="0" fillId="0" fontId="8" numFmtId="167" xfId="0" applyAlignment="1" applyFont="1" applyNumberFormat="1">
      <alignment horizontal="left" readingOrder="0"/>
    </xf>
    <xf borderId="1" fillId="16" fontId="5" numFmtId="0" xfId="0" applyAlignment="1" applyBorder="1" applyFill="1" applyFont="1">
      <alignment readingOrder="0"/>
    </xf>
    <xf borderId="1" fillId="2" fontId="6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5" fontId="1" numFmtId="0" xfId="0" applyBorder="1" applyFill="1" applyFont="1"/>
    <xf borderId="0" fillId="16" fontId="5" numFmtId="0" xfId="0" applyFill="1" applyFont="1"/>
    <xf borderId="1" fillId="5" fontId="1" numFmtId="0" xfId="0" applyAlignment="1" applyBorder="1" applyFill="1" applyFont="1">
      <alignment readingOrder="0"/>
    </xf>
    <xf borderId="0" fillId="0" fontId="8" numFmtId="167" xfId="0" applyAlignment="1" applyFont="1" applyNumberFormat="1">
      <alignment readingOrder="0"/>
    </xf>
    <xf borderId="0" fillId="15" fontId="10" numFmtId="0" xfId="0" applyAlignment="1" applyFill="1" applyFont="1">
      <alignment readingOrder="0"/>
    </xf>
    <xf borderId="0" fillId="16" fontId="8" numFmtId="0" xfId="0" applyAlignment="1" applyFill="1" applyFont="1">
      <alignment readingOrder="0"/>
    </xf>
    <xf borderId="1" fillId="0" fontId="1" numFmtId="0" xfId="0" applyAlignment="1" applyBorder="1" applyFont="1">
      <alignment horizontal="center"/>
    </xf>
    <xf borderId="0" fillId="0" fontId="8" numFmtId="0" xfId="0" applyFont="1"/>
    <xf borderId="11" fillId="13" fontId="5" numFmtId="0" xfId="0" applyBorder="1" applyFill="1" applyFont="1"/>
    <xf borderId="11" fillId="0" fontId="1" numFmtId="0" xfId="0" applyAlignment="1" applyBorder="1" applyFont="1">
      <alignment readingOrder="0"/>
    </xf>
    <xf borderId="1" fillId="16" fontId="8" numFmtId="0" xfId="0" applyAlignment="1" applyBorder="1" applyFill="1" applyFont="1">
      <alignment readingOrder="0"/>
    </xf>
    <xf borderId="1" fillId="2" fontId="6" numFmtId="0" xfId="0" applyAlignment="1" applyBorder="1" applyFill="1" applyFont="1">
      <alignment horizontal="center" shrinkToFit="0" vertical="bottom" wrapText="0"/>
    </xf>
    <xf borderId="6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0" fillId="0" fontId="1" numFmtId="4" xfId="0" applyAlignment="1" applyFont="1" applyNumberFormat="1">
      <alignment readingOrder="0"/>
    </xf>
    <xf borderId="6" fillId="0" fontId="5" numFmtId="4" xfId="0" applyAlignment="1" applyBorder="1" applyFont="1" applyNumberFormat="1">
      <alignment horizontal="center" readingOrder="0"/>
    </xf>
    <xf borderId="1" fillId="0" fontId="8" numFmtId="0" xfId="0" applyBorder="1" applyFont="1"/>
    <xf borderId="1" fillId="17" fontId="1" numFmtId="0" xfId="0" applyAlignment="1" applyBorder="1" applyFill="1" applyFont="1">
      <alignment readingOrder="0"/>
    </xf>
    <xf borderId="12" fillId="0" fontId="1" numFmtId="0" xfId="0" applyAlignment="1" applyBorder="1" applyFont="1">
      <alignment horizontal="center" readingOrder="0"/>
    </xf>
    <xf borderId="1" fillId="18" fontId="12" numFmtId="4" xfId="0" applyAlignment="1" applyBorder="1" applyFill="1" applyFont="1" applyNumberFormat="1">
      <alignment readingOrder="0"/>
    </xf>
    <xf borderId="0" fillId="0" fontId="5" numFmtId="168" xfId="0" applyAlignment="1" applyFont="1" applyNumberFormat="1">
      <alignment readingOrder="0"/>
    </xf>
    <xf borderId="1" fillId="0" fontId="12" numFmtId="4" xfId="0" applyBorder="1" applyFont="1" applyNumberFormat="1"/>
    <xf borderId="0" fillId="0" fontId="5" numFmtId="169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12" numFmtId="4" xfId="0" applyFont="1" applyNumberFormat="1"/>
    <xf borderId="0" fillId="0" fontId="15" numFmtId="0" xfId="0" applyAlignment="1" applyFont="1">
      <alignment readingOrder="0"/>
    </xf>
    <xf borderId="1" fillId="5" fontId="12" numFmtId="4" xfId="0" applyAlignment="1" applyBorder="1" applyFill="1" applyFont="1" applyNumberFormat="1">
      <alignment readingOrder="0"/>
    </xf>
    <xf borderId="0" fillId="0" fontId="15" numFmtId="4" xfId="0" applyAlignment="1" applyFont="1" applyNumberFormat="1">
      <alignment readingOrder="0"/>
    </xf>
    <xf borderId="0" fillId="0" fontId="5" numFmtId="171" xfId="0" applyAlignment="1" applyFont="1" applyNumberFormat="1">
      <alignment readingOrder="0"/>
    </xf>
    <xf borderId="0" fillId="0" fontId="12" numFmtId="4" xfId="0" applyAlignment="1" applyFont="1" applyNumberFormat="1">
      <alignment readingOrder="0"/>
    </xf>
    <xf borderId="1" fillId="16" fontId="5" numFmtId="0" xfId="0" applyBorder="1" applyFill="1" applyFont="1"/>
    <xf borderId="0" fillId="0" fontId="8" numFmtId="4" xfId="0" applyAlignment="1" applyFont="1" applyNumberFormat="1">
      <alignment horizontal="center" readingOrder="0"/>
    </xf>
    <xf borderId="0" fillId="15" fontId="10" numFmtId="4" xfId="0" applyAlignment="1" applyFill="1" applyFont="1" applyNumberFormat="1">
      <alignment readingOrder="0"/>
    </xf>
    <xf borderId="1" fillId="0" fontId="8" numFmtId="4" xfId="0" applyAlignment="1" applyBorder="1" applyFont="1" applyNumberFormat="1">
      <alignment readingOrder="0"/>
    </xf>
    <xf borderId="1" fillId="3" fontId="12" numFmtId="4" xfId="0" applyAlignment="1" applyBorder="1" applyFill="1" applyFont="1" applyNumberFormat="1">
      <alignment readingOrder="0"/>
    </xf>
    <xf borderId="0" fillId="16" fontId="5" numFmtId="0" xfId="0" applyAlignment="1" applyFill="1" applyFont="1">
      <alignment readingOrder="0"/>
    </xf>
    <xf borderId="0" fillId="0" fontId="8" numFmtId="4" xfId="0" applyAlignment="1" applyFont="1" applyNumberFormat="1">
      <alignment readingOrder="0"/>
    </xf>
    <xf borderId="1" fillId="0" fontId="16" numFmtId="0" xfId="0" applyAlignment="1" applyBorder="1" applyFont="1">
      <alignment readingOrder="0"/>
    </xf>
    <xf borderId="1" fillId="0" fontId="17" numFmtId="0" xfId="0" applyAlignment="1" applyBorder="1" applyFont="1">
      <alignment horizontal="center" readingOrder="0"/>
    </xf>
    <xf borderId="1" fillId="19" fontId="5" numFmtId="0" xfId="0" applyBorder="1" applyFill="1" applyFont="1"/>
    <xf borderId="18" fillId="0" fontId="5" numFmtId="0" xfId="0" applyAlignment="1" applyBorder="1" applyFont="1">
      <alignment readingOrder="0"/>
    </xf>
    <xf borderId="0" fillId="0" fontId="5" numFmtId="172" xfId="0" applyAlignment="1" applyFont="1" applyNumberFormat="1">
      <alignment readingOrder="0"/>
    </xf>
    <xf borderId="19" fillId="13" fontId="1" numFmtId="0" xfId="0" applyAlignment="1" applyBorder="1" applyFill="1" applyFont="1">
      <alignment horizontal="center" readingOrder="0"/>
    </xf>
    <xf borderId="7" fillId="0" fontId="5" numFmtId="0" xfId="0" applyBorder="1" applyFont="1"/>
    <xf borderId="6" fillId="0" fontId="5" numFmtId="4" xfId="0" applyBorder="1" applyFont="1" applyNumberFormat="1"/>
    <xf borderId="20" fillId="0" fontId="5" numFmtId="0" xfId="0" applyAlignment="1" applyBorder="1" applyFont="1">
      <alignment horizontal="center" readingOrder="0"/>
    </xf>
    <xf borderId="11" fillId="0" fontId="1" numFmtId="4" xfId="0" applyAlignment="1" applyBorder="1" applyFont="1" applyNumberFormat="1">
      <alignment readingOrder="0"/>
    </xf>
    <xf borderId="11" fillId="0" fontId="1" numFmtId="4" xfId="0" applyAlignment="1" applyBorder="1" applyFont="1" applyNumberFormat="1">
      <alignment horizontal="center" readingOrder="0"/>
    </xf>
    <xf borderId="8" fillId="0" fontId="5" numFmtId="4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horizontal="center"/>
    </xf>
    <xf borderId="21" fillId="0" fontId="7" numFmtId="0" xfId="0" applyAlignment="1" applyBorder="1" applyFont="1">
      <alignment horizontal="center" readingOrder="0" shrinkToFit="0" vertical="bottom" wrapText="0"/>
    </xf>
    <xf borderId="15" fillId="0" fontId="4" numFmtId="0" xfId="0" applyBorder="1" applyFont="1"/>
    <xf borderId="0" fillId="0" fontId="7" numFmtId="0" xfId="0" applyAlignment="1" applyFont="1">
      <alignment shrinkToFit="0" vertical="bottom" wrapText="0"/>
    </xf>
    <xf borderId="6" fillId="0" fontId="18" numFmtId="0" xfId="0" applyAlignment="1" applyBorder="1" applyFont="1">
      <alignment readingOrder="0" shrinkToFit="0" vertical="bottom" wrapText="0"/>
    </xf>
    <xf borderId="7" fillId="0" fontId="18" numFmtId="0" xfId="0" applyAlignment="1" applyBorder="1" applyFont="1">
      <alignment readingOrder="0" shrinkToFit="0" vertical="bottom" wrapText="0"/>
    </xf>
    <xf borderId="17" fillId="0" fontId="18" numFmtId="0" xfId="0" applyAlignment="1" applyBorder="1" applyFont="1">
      <alignment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0" fontId="7" numFmtId="4" xfId="0" applyAlignment="1" applyBorder="1" applyFont="1" applyNumberFormat="1">
      <alignment horizontal="right" readingOrder="0" shrinkToFit="0" vertical="bottom" wrapText="0"/>
    </xf>
    <xf borderId="0" fillId="0" fontId="7" numFmtId="4" xfId="0" applyAlignment="1" applyFont="1" applyNumberFormat="1">
      <alignment shrinkToFit="0" vertical="bottom" wrapText="0"/>
    </xf>
    <xf borderId="12" fillId="13" fontId="1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22" fillId="13" fontId="5" numFmtId="0" xfId="0" applyAlignment="1" applyBorder="1" applyFill="1" applyFont="1">
      <alignment horizontal="center" readingOrder="0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7" numFmtId="4" xfId="0" applyAlignment="1" applyFont="1" applyNumberFormat="1">
      <alignment readingOrder="0" shrinkToFit="0" vertical="bottom" wrapText="0"/>
    </xf>
    <xf borderId="14" fillId="13" fontId="5" numFmtId="0" xfId="0" applyAlignment="1" applyBorder="1" applyFill="1" applyFont="1">
      <alignment horizontal="center" readingOrder="0"/>
    </xf>
    <xf borderId="7" fillId="0" fontId="7" numFmtId="4" xfId="0" applyAlignment="1" applyBorder="1" applyFont="1" applyNumberFormat="1">
      <alignment readingOrder="0" shrinkToFit="0" vertical="bottom" wrapText="0"/>
    </xf>
    <xf borderId="6" fillId="3" fontId="7" numFmtId="0" xfId="0" applyAlignment="1" applyBorder="1" applyFill="1" applyFont="1">
      <alignment horizontal="right" readingOrder="0" shrinkToFit="0" vertical="bottom" wrapText="0"/>
    </xf>
    <xf borderId="7" fillId="3" fontId="7" numFmtId="0" xfId="0" applyAlignment="1" applyBorder="1" applyFill="1" applyFont="1">
      <alignment shrinkToFit="0" vertical="bottom" wrapText="0"/>
    </xf>
    <xf borderId="7" fillId="3" fontId="7" numFmtId="4" xfId="0" applyAlignment="1" applyBorder="1" applyFill="1" applyFont="1" applyNumberFormat="1">
      <alignment shrinkToFit="0" vertical="bottom" wrapText="0"/>
    </xf>
    <xf borderId="1" fillId="0" fontId="7" numFmtId="4" xfId="0" applyAlignment="1" applyBorder="1" applyFont="1" applyNumberFormat="1">
      <alignment horizontal="right" readingOrder="0" shrinkToFit="0" vertical="bottom" wrapText="0"/>
    </xf>
    <xf borderId="8" fillId="0" fontId="5" numFmtId="0" xfId="0" applyAlignment="1" applyBorder="1" applyFont="1">
      <alignment horizontal="center" readingOrder="0"/>
    </xf>
    <xf borderId="8" fillId="0" fontId="5" numFmtId="4" xfId="0" applyAlignment="1" applyBorder="1" applyFont="1" applyNumberFormat="1">
      <alignment readingOrder="0"/>
    </xf>
    <xf borderId="20" fillId="0" fontId="4" numFmtId="0" xfId="0" applyBorder="1" applyFont="1"/>
    <xf borderId="6" fillId="0" fontId="4" numFmtId="0" xfId="0" applyBorder="1" applyFont="1"/>
    <xf borderId="12" fillId="0" fontId="1" numFmtId="0" xfId="0" applyAlignment="1" applyBorder="1" applyFont="1">
      <alignment horizontal="center"/>
    </xf>
    <xf borderId="1" fillId="0" fontId="18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/>
    </xf>
    <xf borderId="6" fillId="0" fontId="7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horizontal="center" readingOrder="0"/>
    </xf>
    <xf borderId="15" fillId="0" fontId="1" numFmtId="4" xfId="0" applyAlignment="1" applyBorder="1" applyFont="1" applyNumberFormat="1">
      <alignment readingOrder="0"/>
    </xf>
    <xf borderId="15" fillId="0" fontId="1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erry Tadele" id="{0479e48f-656b-43d8-8190-5d7f79ed3ab7}" providerId="google-sheets"/>
  <x18tc:person displayName="Zen Reception" id="{4eec80c5-bee8-4f5c-b03a-68897d01b7e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36" dT="2022-08-06T07:56:28.00" personId="{0479e48f-656b-43d8-8190-5d7f79ed3ab7}" id="{c9186373-ffdc-46c4-8083-4f0aef0857c0}" done="0">
    <x18tc:text xml:space="preserve">account</x18tc:text>
  </x18tc:threadedComment>
  <x18tc:threadedComment ref="M73" dT="2023-10-17T06:01:06.00" personId="{4eec80c5-bee8-4f5c-b03a-68897d01b7e6}" id="{3c8f474d-f25a-4c9f-875b-156d1758a236}" done="0">
    <x18tc:text xml:space="preserve">room bill</x18tc:text>
  </x18tc:threadedComment>
  <x18tc:threadedComment ref="M293" dT="2026-05-11T07:00:59.00" personId="{4eec80c5-bee8-4f5c-b03a-68897d01b7e6}" id="{85a1c4bc-94d3-49d3-92cf-82bcaa507f55}" done="0">
    <x18tc:text xml:space="preserve">dani-&gt;solmon</x18tc:text>
  </x18tc:threadedComment>
  <x18tc:threadedComment ref="J220" dT="2025-09-12T06:36:48.00" personId="{4eec80c5-bee8-4f5c-b03a-68897d01b7e6}" id="{4b9418fd-91aa-4260-9fd5-0b2453c622ed}" done="0">
    <x18tc:text xml:space="preserve">11/09/2025</x18tc:text>
  </x18tc:threadedComment>
  <x18tc:threadedComment ref="M70" dT="2023-08-16T13:14:29.00" personId="{4eec80c5-bee8-4f5c-b03a-68897d01b7e6}" id="{f11f9994-a32e-431e-b288-c3df4702ac77}" done="0">
    <x18tc:text xml:space="preserve">cash</x18tc:text>
  </x18tc:threadedComment>
  <x18tc:threadedComment ref="J256" dT="2025-11-13T10:01:40.00" personId="{4eec80c5-bee8-4f5c-b03a-68897d01b7e6}" id="{8a69a7ab-6b30-4bc2-9149-01681609d898}" done="0">
    <x18tc:text xml:space="preserve">05/11/2025</x18tc:text>
  </x18tc:threadedComment>
  <x18tc:threadedComment ref="J219" dT="2025-10-01T09:44:40.00" personId="{4eec80c5-bee8-4f5c-b03a-68897d01b7e6}" id="{640be369-69b4-41ba-af0e-7c2aa8308ab7}" done="0">
    <x18tc:text xml:space="preserve">25/09/2025</x18tc:text>
  </x18tc:threadedComment>
  <x18tc:threadedComment ref="J158" dT="2025-07-24T08:50:02.00" personId="{4eec80c5-bee8-4f5c-b03a-68897d01b7e6}" id="{70791293-606a-475d-8451-c8bba958ac18}" done="0">
    <x18tc:text xml:space="preserve">Pink One</x18tc:text>
  </x18tc:threadedComment>
  <x18tc:threadedComment ref="N212" dT="2025-09-23T08:31:59.00" personId="{4eec80c5-bee8-4f5c-b03a-68897d01b7e6}" id="{de828739-976f-4b46-83fa-71e97880d13e}" done="0">
    <x18tc:text xml:space="preserve">Scarp - 13
Hand Towel - 2
Bedside Mat - 1
Beach Towel - 1</x18tc:text>
  </x18tc:threadedComment>
  <x18tc:threadedComment ref="J273" dT="2025-12-26T13:27:28.00" personId="{4eec80c5-bee8-4f5c-b03a-68897d01b7e6}" id="{10513af1-4f27-4f7d-81aa-26821c8e497c}" done="0">
    <x18tc:text xml:space="preserve">Christmas Gift</x18tc:text>
  </x18tc:threadedComment>
  <x18tc:threadedComment ref="O10" dT="2022-08-02T07:02:10.00" personId="{0479e48f-656b-43d8-8190-5d7f79ed3ab7}" id="{9270e088-3f0a-4538-8eaf-c2479659c5db}" done="0">
    <x18tc:text xml:space="preserve">CASH</x18tc:text>
  </x18tc:threadedComment>
  <x18tc:threadedComment ref="J226" dT="2025-09-12T06:37:06.00" personId="{4eec80c5-bee8-4f5c-b03a-68897d01b7e6}" id="{d84aea9a-6e27-4033-934b-00dedf06deb6}" done="0">
    <x18tc:text xml:space="preserve">29/08/2025</x18tc:text>
  </x18tc:threadedComment>
  <x18tc:threadedComment ref="I273" dT="2025-12-26T13:27:23.00" personId="{4eec80c5-bee8-4f5c-b03a-68897d01b7e6}" id="{8624c900-a172-4f97-8728-1a64aee8733d}" done="0">
    <x18tc:text xml:space="preserve">Christmas Gift</x18tc:text>
  </x18tc:threadedComment>
  <x18tc:threadedComment ref="Q10" dT="2022-09-20T09:18:15.00" personId="{0479e48f-656b-43d8-8190-5d7f79ed3ab7}" id="{2af7e8cd-d65d-4045-a36b-1c627723f885}" done="0">
    <x18tc:text xml:space="preserve">cash</x18tc:text>
  </x18tc:threadedComment>
  <x18tc:threadedComment ref="O30" dT="2022-08-02T07:01:02.00" personId="{0479e48f-656b-43d8-8190-5d7f79ed3ab7}" id="{4e7ba0d8-39bf-4910-899b-975f453440ec}" done="0">
    <x18tc:text xml:space="preserve">CASH</x18tc:text>
  </x18tc:threadedComment>
  <x18tc:threadedComment ref="J217" dT="2025-09-12T06:37:14.00" personId="{4eec80c5-bee8-4f5c-b03a-68897d01b7e6}" id="{6f5b4a45-0d1c-447c-96b9-85de0543cb3d}" done="0">
    <x18tc:text xml:space="preserve">29/08/2025</x18tc:text>
  </x18tc:threadedComment>
  <x18tc:threadedComment ref="M30" dT="2022-07-27T12:27:46.00" personId="{0479e48f-656b-43d8-8190-5d7f79ed3ab7}" id="{bb26bf97-1d5f-4c98-a41e-1b78a2bb19c4}" done="0">
    <x18tc:text xml:space="preserve">cash</x18tc:text>
  </x18tc:threadedComment>
  <x18tc:threadedComment ref="S26" dT="2022-12-16T12:24:21.00" personId="{0479e48f-656b-43d8-8190-5d7f79ed3ab7}" id="{773cbff6-3a68-4159-9c0a-918ab78cfee8}" done="0">
    <x18tc:text xml:space="preserve">cash</x18tc:text>
  </x18tc:threadedComment>
  <x18tc:threadedComment ref="U26" dT="2023-03-25T13:18:41.00" personId="{0479e48f-656b-43d8-8190-5d7f79ed3ab7}" id="{632ac5a8-513b-4fec-b353-48c75c34ca02}" done="0">
    <x18tc:text xml:space="preserve">cash</x18tc:text>
  </x18tc:threadedComment>
  <x18tc:threadedComment ref="J249" dT="2025-11-06T09:44:14.00" personId="{4eec80c5-bee8-4f5c-b03a-68897d01b7e6}" id="{475d9968-2378-40cd-abb1-6c82ad8929c5}" done="0">
    <x18tc:text xml:space="preserve">05/11/2025</x18tc:text>
  </x18tc:threadedComment>
  <x18tc:threadedComment ref="J246" dT="2025-11-06T09:43:36.00" personId="{4eec80c5-bee8-4f5c-b03a-68897d01b7e6}" id="{0a99aa28-1ecf-417b-9982-44e04d500156}" done="0">
    <x18tc:text xml:space="preserve">05/11/2025</x18tc:text>
  </x18tc:threadedComment>
  <x18tc:threadedComment ref="K17" dT="2022-12-16T07:18:43.00" personId="{0479e48f-656b-43d8-8190-5d7f79ed3ab7}" id="{6fa114ff-8a41-41bd-ab0f-8502ddfcc58f}" done="0">
    <x18tc:text xml:space="preserve">zen gift</x18tc:text>
  </x18tc:threadedComment>
  <x18tc:threadedComment ref="I311" dT="2026-06-06T06:53:50.00" personId="{4eec80c5-bee8-4f5c-b03a-68897d01b7e6}" id="{ed785105-6773-40c3-8232-abfea517b4a6}" done="0">
    <x18tc:text xml:space="preserve">05/06/26 12995</x18tc:text>
  </x18tc:threadedComment>
  <x18tc:threadedComment ref="J245" dT="2025-11-06T09:43:30.00" personId="{4eec80c5-bee8-4f5c-b03a-68897d01b7e6}" id="{119db361-2160-40ec-b53b-5c89f577878e}" done="0">
    <x18tc:text xml:space="preserve">05/11/2025</x18tc:text>
  </x18tc:threadedComment>
  <x18tc:threadedComment ref="Q30" dT="2022-09-07T12:12:03.00" personId="{0479e48f-656b-43d8-8190-5d7f79ed3ab7}" id="{83299533-273f-4ab4-92de-b3a9fd9a78a4}" done="0">
    <x18tc:text xml:space="preserve">cash</x18tc:text>
  </x18tc:threadedComment>
  <x18tc:threadedComment ref="I148" dT="2025-01-24T11:42:31.00" personId="{4eec80c5-bee8-4f5c-b03a-68897d01b7e6}" id="{35682d31-bbf9-48ee-b7a3-5bdc72713bc8}" done="0">
    <x18tc:text xml:space="preserve">CBE Transfer</x18tc:text>
  </x18tc:threadedComment>
  <x18tc:threadedComment ref="K8" dT="2023-04-27T13:04:49.00" personId="{0479e48f-656b-43d8-8190-5d7f79ed3ab7}" id="{f9725a8a-4011-4852-acae-51922c86e26d}" done="0">
    <x18tc:text xml:space="preserve">cash</x18tc:text>
  </x18tc:threadedComment>
  <x18tc:threadedComment ref="K12" dT="2022-07-15T11:19:29.00" personId="{0479e48f-656b-43d8-8190-5d7f79ed3ab7}" id="{3f2b4f98-f5ea-49df-ad98-96c11e27f1f3}" done="0">
    <x18tc:text xml:space="preserve">cash</x18tc:text>
  </x18tc:threadedComment>
  <x18tc:threadedComment ref="I149" dT="2025-01-24T11:44:24.00" personId="{4eec80c5-bee8-4f5c-b03a-68897d01b7e6}" id="{d4c6f2f2-921c-4cd5-87e2-3dafd213dd22}" done="0">
    <x18tc:text xml:space="preserve">CBE Transfer</x18tc:text>
  </x18tc:threadedComment>
  <x18tc:threadedComment ref="K6" dT="2022-07-15T11:18:49.00" personId="{0479e48f-656b-43d8-8190-5d7f79ed3ab7}" id="{cf6606a3-9d70-422d-a519-5c78f44911f0}" done="0">
    <x18tc:text xml:space="preserve">cash</x18tc:text>
  </x18tc:threadedComment>
  <x18tc:threadedComment ref="L9" dT="2022-07-01T09:45:15.00" personId="{0479e48f-656b-43d8-8190-5d7f79ed3ab7}" id="{0a6bf091-da34-4b4c-86ef-9ee817d400ec}" done="0">
    <x18tc:text xml:space="preserve">cash</x18tc:text>
  </x18tc:threadedComment>
  <x18tc:threadedComment ref="J9" dT="2022-07-01T09:45:09.00" personId="{0479e48f-656b-43d8-8190-5d7f79ed3ab7}" id="{cd8ff46a-90d0-40c4-9e66-08c0982d8fdc}" done="0">
    <x18tc:text xml:space="preserve">payed pos</x18tc:text>
  </x18tc:threadedComment>
  <x18tc:threadedComment ref="I277" dT="2025-12-12T15:40:02.00" personId="{4eec80c5-bee8-4f5c-b03a-68897d01b7e6}" id="{4de464f3-5b5a-48f6-8c28-2a81c5b44e6c}" done="0">
    <x18tc:text xml:space="preserve">Desire</x18tc:text>
  </x18tc:threadedComment>
  <x18tc:threadedComment ref="M38" dT="2023-01-25T11:47:23.00" personId="{0479e48f-656b-43d8-8190-5d7f79ed3ab7}" id="{6351cc45-6d46-43e3-9615-1b9ee91ac9db}" done="0">
    <x18tc:text xml:space="preserve">account</x18tc:text>
  </x18tc:threadedComment>
  <x18tc:threadedComment ref="I293" dT="2026-04-06T14:22:56.00" personId="{4eec80c5-bee8-4f5c-b03a-68897d01b7e6}" id="{ee6347af-0f78-428b-8ec7-465866e3989a}" done="0">
    <x18tc:text xml:space="preserve">With resto 06/04/2026</x18tc:text>
  </x18tc:threadedComment>
  <x18tc:threadedComment ref="K86" dT="2023-10-17T06:04:29.00" personId="{4eec80c5-bee8-4f5c-b03a-68897d01b7e6}" id="{7d444f5c-f03d-48f3-a1c3-673ce4b230c6}" done="0">
    <x18tc:text xml:space="preserve">room</x18tc:text>
  </x18tc:threadedComment>
  <x18tc:threadedComment ref="M31" dT="2022-09-07T12:11:12.00" personId="{0479e48f-656b-43d8-8190-5d7f79ed3ab7}" id="{5e3080c0-60d1-48a8-ae19-dd2c36f41412}" done="0">
    <x18tc:text xml:space="preserve">account</x18tc:text>
  </x18tc:threadedComment>
  <x18tc:threadedComment ref="I271" dT="2026-04-06T14:19:39.00" personId="{4eec80c5-bee8-4f5c-b03a-68897d01b7e6}" id="{c8570f08-979c-42ba-a7db-921ecdcce929}" done="0">
    <x18tc:text xml:space="preserve">06/04/2026 with restaurant bill _ 2875</x18tc:text>
  </x18tc:threadedComment>
  <x18tc:threadedComment ref="K24" dT="2022-08-26T09:17:23.00" personId="{0479e48f-656b-43d8-8190-5d7f79ed3ab7}" id="{2c2a9238-25fd-495d-b99a-2ebef9ae3ea0}" done="0">
    <x18tc:text xml:space="preserve">POS</x18tc:text>
  </x18tc:threadedComment>
  <x18tc:threadedComment ref="J213" dT="2025-09-16T10:13:17.00" personId="{4eec80c5-bee8-4f5c-b03a-68897d01b7e6}" id="{d076cd4c-aa7c-484f-8727-3d1766f4d377}" done="0">
    <x18tc:text xml:space="preserve">16/09/2025</x18tc:text>
  </x18tc:threadedComment>
  <x18tc:threadedComment ref="K35" dT="2022-07-27T12:30:13.00" personId="{0479e48f-656b-43d8-8190-5d7f79ed3ab7}" id="{0450cdd3-a935-4215-9217-9f3575ed6664}" done="0">
    <x18tc:text xml:space="preserve">account</x18tc:text>
  </x18tc:threadedComment>
  <x18tc:threadedComment ref="Y30" dT="2023-02-03T13:22:26.00" personId="{0479e48f-656b-43d8-8190-5d7f79ed3ab7}" id="{266f450f-bc14-4ede-80b7-f8c659c46e24}" done="0">
    <x18tc:text xml:space="preserve">cash</x18tc:text>
  </x18tc:threadedComment>
  <x18tc:threadedComment ref="H270" dT="2025-12-11T09:12:39.00" personId="{4eec80c5-bee8-4f5c-b03a-68897d01b7e6}" id="{cd4befe7-d2d8-4042-82c5-f7f8d3f49c82}" done="0">
    <x18tc:text xml:space="preserve">Goethe staff ( dec 01) MT</x18tc:text>
  </x18tc:threadedComment>
  <x18tc:threadedComment ref="K31" dT="2022-07-27T12:30:06.00" personId="{0479e48f-656b-43d8-8190-5d7f79ed3ab7}" id="{b412626c-1081-4f05-904a-f5726a0823b5}" done="0">
    <x18tc:text xml:space="preserve">account</x18tc:text>
  </x18tc:threadedComment>
  <x18tc:threadedComment ref="K10" dT="2022-07-15T11:16:11.00" personId="{0479e48f-656b-43d8-8190-5d7f79ed3ab7}" id="{cac1bacc-0cee-43e2-85b7-eb1526994863}" done="0">
    <x18tc:text xml:space="preserve">POS</x18tc:text>
  </x18tc:threadedComment>
  <x18tc:threadedComment ref="K28" dT="2023-02-03T13:24:30.00" personId="{0479e48f-656b-43d8-8190-5d7f79ed3ab7}" id="{ed2a3186-4d64-4f2a-b48d-379fe43806e6}" done="0">
    <x18tc:text xml:space="preserve">cash</x18tc:text>
  </x18tc:threadedComment>
  <x18tc:threadedComment ref="K42" dT="2023-02-03T13:01:06.00" personId="{0479e48f-656b-43d8-8190-5d7f79ed3ab7}" id="{5f86264e-233f-4efd-8885-02b692a1e14c}" done="0">
    <x18tc:text xml:space="preserve">payed cash</x18tc:text>
  </x18tc:threadedComment>
  <x18tc:threadedComment ref="J233" dT="2025-09-22T10:14:01.00" personId="{4eec80c5-bee8-4f5c-b03a-68897d01b7e6}" id="{bb921aa2-070a-4ef6-80bd-7d4118155228}" done="0">
    <x18tc:text xml:space="preserve">22/09/2025</x18tc:text>
  </x18tc:threadedComment>
  <x18tc:threadedComment ref="O25" dT="2022-09-30T13:13:01.00" personId="{0479e48f-656b-43d8-8190-5d7f79ed3ab7}" id="{b8d24f73-6fe0-4a96-adfd-dfeea5284f14}" done="0">
    <x18tc:text xml:space="preserve">cash</x18tc:text>
  </x18tc:threadedComment>
  <x18tc:threadedComment ref="Q26" dT="2022-07-27T12:29:57.00" personId="{0479e48f-656b-43d8-8190-5d7f79ed3ab7}" id="{93b78e81-8e60-4a5c-98f4-26d88f9c2a84}" done="0">
    <x18tc:text xml:space="preserve">account</x18tc:text>
  </x18tc:threadedComment>
  <x18tc:threadedComment ref="M25" dT="2022-07-27T12:36:06.00" personId="{0479e48f-656b-43d8-8190-5d7f79ed3ab7}" id="{f164da0c-3eb8-4516-811e-60b6e42f8cb4}" done="0">
    <x18tc:text xml:space="preserve">450 payed 400 from salary balance</x18tc:text>
  </x18tc:threadedComment>
  <x18tc:threadedComment ref="K33" dT="2023-01-15T11:33:11.00" personId="{0479e48f-656b-43d8-8190-5d7f79ed3ab7}" id="{f5420773-1e75-476d-9142-9b9019ba8b6d}" done="0">
    <x18tc:text xml:space="preserve">cash</x18tc:text>
  </x18tc:threadedComment>
  <x18tc:threadedComment ref="W26" dT="2023-04-01T11:17:36.00" personId="{0479e48f-656b-43d8-8190-5d7f79ed3ab7}" id="{66188e51-6d3d-40fe-b13d-1cd10e6203f1}" done="0">
    <x18tc:text xml:space="preserve">CASH</x18tc:text>
  </x18tc:threadedComment>
  <x18tc:threadedComment ref="K40" dT="2023-02-03T12:54:53.00" personId="{0479e48f-656b-43d8-8190-5d7f79ed3ab7}" id="{5ad391f7-77e5-42b7-99c1-1186067c8be9}" done="0">
    <x18tc:text xml:space="preserve">account for yared mom account</x18tc:text>
  </x18tc:threadedComment>
  <x18tc:threadedComment ref="M12" dT="2023-01-15T11:41:16.00" personId="{0479e48f-656b-43d8-8190-5d7f79ed3ab7}" id="{5760edde-267a-4c96-9196-67a50fd31849}" done="0">
    <x18tc:text xml:space="preserve">cash</x18tc:text>
  </x18tc:threadedComment>
  <x18tc:threadedComment ref="K18" dT="2022-07-15T11:14:46.00" personId="{0479e48f-656b-43d8-8190-5d7f79ed3ab7}" id="{d46b8c09-6cc5-4744-ab31-35b31e6dd890}" done="0">
    <x18tc:text xml:space="preserve">cash</x18tc:text>
  </x18tc:threadedComment>
  <x18tc:threadedComment ref="K36" dT="2022-07-27T12:30:23.00" personId="{0479e48f-656b-43d8-8190-5d7f79ed3ab7}" id="{b32d9537-9535-4412-b89f-fdf5b558741c}" done="0">
    <x18tc:text xml:space="preserve">account</x18tc:text>
  </x18tc:threadedComment>
  <x18tc:threadedComment ref="K27" dT="2023-07-19T08:50:01.00" personId="{0479e48f-656b-43d8-8190-5d7f79ed3ab7}" id="{bfa47355-b154-4bed-adc6-e9e16dc860ea}" done="0">
    <x18tc:text xml:space="preserve">account</x18tc:text>
  </x18tc:threadedComment>
  <x18tc:threadedComment ref="K39" dT="2023-01-27T10:20:07.00" personId="{0479e48f-656b-43d8-8190-5d7f79ed3ab7}" id="{416442f2-aa77-4526-a0a3-8ec178c81df0}" done="0">
    <x18tc:text xml:space="preserve">account</x18tc:text>
  </x18tc:threadedComment>
  <x18tc:threadedComment ref="K38" dT="2022-11-25T08:54:00.00" personId="{0479e48f-656b-43d8-8190-5d7f79ed3ab7}" id="{75c5f061-1e7e-43f6-ace7-1e22435a4e8e}" done="0">
    <x18tc:text xml:space="preserve">paid dollar 25$</x18tc:text>
  </x18tc:threadedComment>
  <x18tc:threadedComment ref="K41" dT="2023-01-27T10:23:03.00" personId="{0479e48f-656b-43d8-8190-5d7f79ed3ab7}" id="{eb6a8a2f-14c9-4436-9a3f-36e9b301e2aa}" done="0">
    <x18tc:text xml:space="preserve">account</x18tc:text>
  </x18tc:threadedComment>
  <x18tc:threadedComment ref="M37" dT="2022-08-23T11:29:28.00" personId="{0479e48f-656b-43d8-8190-5d7f79ed3ab7}" id="{fe79bdde-964f-4c54-8499-0544c3d8dd0e}" done="0">
    <x18tc:text xml:space="preserve">cash</x18tc:text>
  </x18tc:threadedComment>
  <x18tc:threadedComment ref="M7" dT="2022-07-15T11:17:02.00" personId="{0479e48f-656b-43d8-8190-5d7f79ed3ab7}" id="{40e6cb86-20fd-48f8-a393-974c60bd2053}" done="0">
    <x18tc:text xml:space="preserve">pos</x18tc:text>
  </x18tc:threadedComment>
  <x18tc:threadedComment ref="J252" dT="2025-11-06T14:37:18.00" personId="{4eec80c5-bee8-4f5c-b03a-68897d01b7e6}" id="{590b0883-7010-4d18-b97d-d38d4aa44b8f}" done="0">
    <x18tc:text xml:space="preserve">05/11/2025</x18tc:text>
  </x18tc:threadedComment>
  <x18tc:threadedComment ref="M10" dT="2022-07-15T11:16:23.00" personId="{0479e48f-656b-43d8-8190-5d7f79ed3ab7}" id="{8ae9ce37-f630-476c-a0ac-36886de25f8e}" done="0">
    <x18tc:text xml:space="preserve">POS</x18tc:text>
  </x18tc:threadedComment>
  <x18tc:threadedComment ref="J173" dT="2025-09-22T10:13:48.00" personId="{4eec80c5-bee8-4f5c-b03a-68897d01b7e6}" id="{2db6a01b-aa13-4161-bd52-1580213beb4f}" done="0">
    <x18tc:text xml:space="preserve">22/09/2025</x18tc:text>
  </x18tc:threadedComment>
  <x18tc:threadedComment ref="K85" dT="2023-08-16T13:15:10.00" personId="{4eec80c5-bee8-4f5c-b03a-68897d01b7e6}" id="{7512db11-fdce-454b-a969-3a472af30757}" done="0">
    <x18tc:text xml:space="preserve">cash</x18tc:text>
  </x18tc:threadedComment>
  <x18tc:threadedComment ref="M24" dT="2022-11-28T13:36:27.00" personId="{0479e48f-656b-43d8-8190-5d7f79ed3ab7}" id="{619d9b88-3d5a-4938-8d6e-c916bcf78bbe}" done="0">
    <x18tc:text xml:space="preserve">DANI</x18tc:text>
  </x18tc:threadedComment>
  <x18tc:threadedComment ref="I307" dT="2026-06-06T06:53:09.00" personId="{4eec80c5-bee8-4f5c-b03a-68897d01b7e6}" id="{e03ff85c-68f4-4804-9168-0fe6b51bc6f0}" done="0">
    <x18tc:text xml:space="preserve">05/06/26 12995</x18tc:text>
  </x18tc:threadedComment>
  <x18tc:threadedComment ref="Q31" dT="2022-09-21T07:11:59.00" personId="{0479e48f-656b-43d8-8190-5d7f79ed3ab7}" id="{37fb0c22-f74d-4891-b9b6-b886e25e1a8a}" done="0">
    <x18tc:text xml:space="preserve">For Meri</x18tc:text>
  </x18tc:threadedComment>
  <x18tc:threadedComment ref="K37" dT="2022-07-27T12:27:56.00" personId="{0479e48f-656b-43d8-8190-5d7f79ed3ab7}" id="{de34b1fa-85e9-4eb5-8e96-58cbdd570f2f}" done="0">
    <x18tc:text xml:space="preserve">cash</x18tc:text>
  </x18tc:threadedComment>
  <x18tc:threadedComment ref="K76" dT="2023-08-16T13:19:04.00" personId="{4eec80c5-bee8-4f5c-b03a-68897d01b7e6}" id="{3b372992-55ff-4c1e-8a3e-7f7ec7bf699c}" done="0">
    <x18tc:text xml:space="preserve">transfer</x18tc:text>
  </x18tc:threadedComment>
  <x18tc:threadedComment ref="J159" dT="2025-11-05T13:20:17.00" personId="{4eec80c5-bee8-4f5c-b03a-68897d01b7e6}" id="{c3a3312f-cf09-4e82-a01d-161c442cb567}" done="0">
    <x18tc:text xml:space="preserve">05/11/2025</x18tc:text>
  </x18tc:threadedComment>
  <x18tc:threadedComment ref="K77" dT="2023-08-16T13:18:56.00" personId="{4eec80c5-bee8-4f5c-b03a-68897d01b7e6}" id="{f919be55-c7ff-4103-9d0f-3428163cf047}" done="0">
    <x18tc:text xml:space="preserve">pos</x18tc:text>
  </x18tc:threadedComment>
  <x18tc:threadedComment ref="K30" dT="2022-07-27T12:28:11.00" personId="{0479e48f-656b-43d8-8190-5d7f79ed3ab7}" id="{d7355e29-3782-488d-865b-a7eebdfcd2e3}" done="0">
    <x18tc:text xml:space="preserve">cash</x18tc:text>
  </x18tc:threadedComment>
  <x18tc:threadedComment ref="K73" dT="2023-08-16T13:18:34.00" personId="{4eec80c5-bee8-4f5c-b03a-68897d01b7e6}" id="{b056e335-89dc-4e45-80de-3294534b8431}" done="0">
    <x18tc:text xml:space="preserve">pos</x18tc:text>
  </x18tc:threadedComment>
  <x18tc:threadedComment ref="K34" dT="2022-07-27T12:28:04.00" personId="{0479e48f-656b-43d8-8190-5d7f79ed3ab7}" id="{61da09f2-bdee-4c46-bec4-37c9f93e2b42}" done="0">
    <x18tc:text xml:space="preserve">cash</x18tc:text>
  </x18tc:threadedComment>
  <x18tc:threadedComment ref="K80" dT="2023-08-16T13:15:48.00" personId="{4eec80c5-bee8-4f5c-b03a-68897d01b7e6}" id="{8b2a1d6b-c250-4abe-9412-14bc6bcd06da}" done="0">
    <x18tc:text xml:space="preserve">cash</x18tc:text>
  </x18tc:threadedComment>
  <x18tc:threadedComment ref="I309" dT="2026-07-06T14:36:39.00" personId="{4eec80c5-bee8-4f5c-b03a-68897d01b7e6}" id="{9c61813c-80ef-430b-8422-f206187ea865}" done="0">
    <x18tc:text xml:space="preserve">06/07/2026   2875</x18tc:text>
  </x18tc:threadedComment>
  <x18tc:threadedComment ref="O36" dT="2022-09-20T09:18:16.00" personId="{0479e48f-656b-43d8-8190-5d7f79ed3ab7}" id="{65333c66-1f03-415a-9cb4-1a15d9497504}" done="0">
    <x18tc:text xml:space="preserve">cash</x18tc:text>
  </x18tc:threadedComment>
  <x18tc:threadedComment ref="L228" dT="2025-12-19T08:28:01.00" personId="{4eec80c5-bee8-4f5c-b03a-68897d01b7e6}" id="{db73432e-ff5b-465a-ae5e-a1cd24bf01eb}" done="0">
    <x18tc:text xml:space="preserve">Dec/2025</x18tc:text>
  </x18tc:threadedComment>
  <x18tc:threadedComment ref="O31" dT="2022-09-20T09:18:16.00" personId="{0479e48f-656b-43d8-8190-5d7f79ed3ab7}" id="{97cdf354-5bb5-4728-86e3-0ced5b7d80e3}" done="0">
    <x18tc:text xml:space="preserve">cash</x18tc:text>
  </x18tc:threadedComment>
  <x18tc:threadedComment ref="I255" dT="2025-12-19T08:26:41.00" personId="{4eec80c5-bee8-4f5c-b03a-68897d01b7e6}" id="{f8f45277-ec0c-4a11-9d63-6623b46ec910}" done="0">
    <x18tc:text xml:space="preserve">Birthday Gift</x18tc:text>
  </x18tc:threadedComment>
  <x18tc:threadedComment ref="J218" dT="2025-12-19T08:24:30.00" personId="{4eec80c5-bee8-4f5c-b03a-68897d01b7e6}" id="{b0495644-bd7a-4607-8310-068147b6e7c1}" done="0">
    <x18tc:text xml:space="preserve">Birthday Gift</x18tc:text>
  </x18tc:threadedComment>
  <x18tc:threadedComment ref="J202" dT="2025-12-19T08:23:00.00" personId="{4eec80c5-bee8-4f5c-b03a-68897d01b7e6}" id="{9854cc01-0642-43ad-8811-77edf06eb202}" done="0">
    <x18tc:text xml:space="preserve">X-mass gift</x18tc:text>
  </x18tc:threadedComment>
  <x18tc:threadedComment ref="I314" dT="2026-07-21T09:56:30.00" personId="{4eec80c5-bee8-4f5c-b03a-68897d01b7e6}" id="{2f55b32a-b9aa-4898-ba41-504760eff12a}" done="0">
    <x18tc:text xml:space="preserve">21/07/26 7075</x18tc:text>
  </x18tc:threadedComment>
  <x18tc:threadedComment ref="J225" dT="2025-09-12T06:36:41.00" personId="{4eec80c5-bee8-4f5c-b03a-68897d01b7e6}" id="{4fec7b3f-914f-4caf-98de-e497b4c3eb55}" done="0">
    <x18tc:text xml:space="preserve">11/09/2025</x18tc:text>
  </x18tc:threadedComment>
  <x18tc:threadedComment ref="K293" dT="2026-04-26T09:11:43.00" personId="{4eec80c5-bee8-4f5c-b03a-68897d01b7e6}" id="{7ce39fee-5f70-4aaa-8511-077d5838f0a1}" done="0">
    <x18tc:text xml:space="preserve">With resto</x18tc:text>
  </x18tc:threadedComment>
  <x18tc:threadedComment ref="K43" dT="2023-02-04T08:47:03.00" personId="{0479e48f-656b-43d8-8190-5d7f79ed3ab7}" id="{28c267e4-bb45-4256-b1ec-d4138908fe8c}" done="0">
    <x18tc:text xml:space="preserve">CASH</x18tc:text>
  </x18tc:threadedComment>
  <x18tc:threadedComment ref="K25" dT="2022-07-27T12:29:28.00" personId="{0479e48f-656b-43d8-8190-5d7f79ed3ab7}" id="{7f1ccbf4-7d30-49d2-b56a-e3b23c4b4a5a}" done="0">
    <x18tc:text xml:space="preserve">account</x18tc:text>
  </x18tc:threadedComment>
  <x18tc:threadedComment ref="O26" dT="2022-07-27T12:29:48.00" personId="{0479e48f-656b-43d8-8190-5d7f79ed3ab7}" id="{1de7a7ff-8703-4d3f-b9ed-92a94c3386da}" done="0">
    <x18tc:text xml:space="preserve">cash</x18tc:text>
  </x18tc:threadedComment>
  <x18tc:threadedComment ref="I288" dT="2026-05-11T06:58:58.00" personId="{4eec80c5-bee8-4f5c-b03a-68897d01b7e6}" id="{67dcf0db-e1f7-4e4f-9e8c-659ff69365bf}" done="0">
    <x18tc:text xml:space="preserve">With Resto</x18tc:text>
  </x18tc:threadedComment>
  <x18tc:threadedComment ref="I286" dT="2026-07-19T09:25:14.00" personId="{4eec80c5-bee8-4f5c-b03a-68897d01b7e6}" id="{c6d220a9-8a97-4711-b209-8b6c984b110b}" done="0">
    <x18tc:text xml:space="preserve">19/07/26 -</x18tc:text>
  </x18tc:threadedComment>
  <x18tc:threadedComment ref="K26" dT="2022-07-27T12:29:39.00" personId="{0479e48f-656b-43d8-8190-5d7f79ed3ab7}" id="{2d5aeb34-4935-45bb-93a6-daad2b1a783f}" done="0">
    <x18tc:text xml:space="preserve">account</x18tc:text>
  </x18tc:threadedComment>
  <x18tc:threadedComment ref="C273" dT="2025-10-09T12:12:49.00" personId="{4eec80c5-bee8-4f5c-b03a-68897d01b7e6}" id="{66491b54-df2e-4861-a1b5-0b35018a98c9}" done="0">
    <x18tc:text xml:space="preserve">gonder(10401), various design(10402), akobo(120481)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6-06-06T07:35:49.00" personId="{4eec80c5-bee8-4f5c-b03a-68897d01b7e6}" id="{c6b0cd1d-2f45-42b3-b86d-df4702a835bc}" done="0">
    <x18tc:text xml:space="preserve">05/06/26 12995</x18tc:text>
  </x18tc:threadedComment>
  <x18tc:threadedComment ref="C5" dT="2026-06-06T06:55:28.00" personId="{4eec80c5-bee8-4f5c-b03a-68897d01b7e6}" id="{78620dac-16ef-491b-949f-5c962c1c67b5}" done="0">
    <x18tc:text xml:space="preserve">1 Red, 1 Gray, 1 Yellow</x18tc:text>
  </x18tc:threadedComment>
  <x18tc:threadedComment ref="C4" dT="2026-06-06T06:55:46.00" personId="{4eec80c5-bee8-4f5c-b03a-68897d01b7e6}" id="{96700c3a-c5b6-47f8-bfa7-33d3f11548b2}" done="0">
    <x18tc:text xml:space="preserve">1 Yellow, 1 gray</x18tc:text>
  </x18tc:threadedComment>
  <x18tc:threadedComment ref="H5" dT="2026-06-06T06:55:08.00" personId="{4eec80c5-bee8-4f5c-b03a-68897d01b7e6}" id="{245adb44-307b-43ca-9e0f-9bb89194a701}" done="0">
    <x18tc:text xml:space="preserve">05/06/26 12995   RED</x18tc:text>
  </x18tc:threadedComment>
  <x18tc:threadedComment ref="C3" dT="2026-06-06T06:56:10.00" personId="{4eec80c5-bee8-4f5c-b03a-68897d01b7e6}" id="{351ce586-7c60-4ad4-a25b-7b42d95157a1}" done="0">
    <x18tc:text xml:space="preserve">Red, Yellow?</x18tc:text>
  </x18tc:threadedComment>
  <x18tc:threadedComment ref="H3" dT="2026-04-30T10:57:50.00" personId="{4eec80c5-bee8-4f5c-b03a-68897d01b7e6}" id="{690f7524-6bc4-441f-80e8-3185343c56b1}" done="0">
    <x18tc:text xml:space="preserve">With Rest - 23/04/2026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4" dT="2026-06-03T10:47:29.00" personId="{4eec80c5-bee8-4f5c-b03a-68897d01b7e6}" id="{4007de3f-31de-475f-bda1-ada9ad67d5cf}" done="0">
    <x18tc:text xml:space="preserve">17/04/26</x18tc:text>
  </x18tc:threadedComment>
  <x18tc:threadedComment ref="K4" dT="2026-05-31T13:08:08.00" personId="{4eec80c5-bee8-4f5c-b03a-68897d01b7e6}" id="{55857695-4fd3-4f1b-8b91-588027db98c2}" done="0">
    <x18tc:text xml:space="preserve">31/05/2026</x18tc:text>
  </x18tc:threadedComment>
  <x18tc:threadedComment ref="I8" dT="2026-05-31T13:12:53.00" personId="{4eec80c5-bee8-4f5c-b03a-68897d01b7e6}" id="{e5c2eac5-ba74-4c31-8046-f8e99537f18f}" done="0">
    <x18tc:text xml:space="preserve">04/04/26</x18tc:text>
  </x18tc:threadedComment>
  <x18tc:threadedComment ref="I7" dT="2026-05-31T13:07:25.00" personId="{4eec80c5-bee8-4f5c-b03a-68897d01b7e6}" id="{b973df23-5703-4f7a-9dcc-5b5ade430abe}" done="0">
    <x18tc:text xml:space="preserve">With Resto 05/05/26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6" dT="2026-06-25T09:11:59.00" personId="{4eec80c5-bee8-4f5c-b03a-68897d01b7e6}" id="{5c406e4e-3297-449f-adaa-d29279950fe2}" done="0">
    <x18tc:text xml:space="preserve">25/06/2026</x18tc:text>
  </x18tc:threadedComment>
  <x18tc:threadedComment ref="N5" dT="2026-06-03T14:15:10.00" personId="{4eec80c5-bee8-4f5c-b03a-68897d01b7e6}" id="{9a888a8a-ff10-4917-b171-845b008eff7d}" done="0">
    <x18tc:text xml:space="preserve">21/04/26</x18tc:text>
  </x18tc:threadedComment>
  <x18tc:threadedComment ref="P5" dT="2026-06-03T14:31:08.00" personId="{4eec80c5-bee8-4f5c-b03a-68897d01b7e6}" id="{2e602ba2-4a5a-429a-ace0-1d36303b0efe}" done="0">
    <x18tc:text xml:space="preserve">22/03/26</x18tc:text>
  </x18tc:threadedComment>
  <x18tc:threadedComment ref="J45" dT="2026-08-09T14:14:53.00" personId="{4eec80c5-bee8-4f5c-b03a-68897d01b7e6}" id="{ba040056-b62a-49f1-8450-2dd99a62c5aa}" done="0">
    <x18tc:text xml:space="preserve">07/08/26</x18tc:text>
  </x18tc:threadedComment>
  <x18tc:threadedComment ref="N3" dT="2026-06-15T08:42:39.00" personId="{4eec80c5-bee8-4f5c-b03a-68897d01b7e6}" id="{d1c4d323-4b0c-4a90-863a-261c81c42a33}" done="0">
    <x18tc:text xml:space="preserve">Yellow</x18tc:text>
  </x18tc:threadedComment>
  <x18tc:threadedComment ref="R5" dT="2026-06-15T08:48:39.00" personId="{4eec80c5-bee8-4f5c-b03a-68897d01b7e6}" id="{944a9980-110b-4a28-9212-a05d4e804c31}" done="0">
    <x18tc:text xml:space="preserve">10/11/25</x18tc:text>
  </x18tc:threadedComment>
  <x18tc:threadedComment ref="J7" dT="2026-06-15T08:48:09.00" personId="{4eec80c5-bee8-4f5c-b03a-68897d01b7e6}" id="{ddd557e3-699c-44dd-8394-a8b0c5d47748}" done="0">
    <x18tc:text xml:space="preserve">10/11/25</x18tc:text>
  </x18tc:threadedComment>
  <x18tc:threadedComment ref="E15" dT="2026-06-25T09:11:42.00" personId="{4eec80c5-bee8-4f5c-b03a-68897d01b7e6}" id="{cbcb5498-acce-4302-9bf1-b178c3ccb898}" done="0">
    <x18tc:text xml:space="preserve">25/06/2026</x18tc:text>
  </x18tc:threadedComment>
  <x18tc:threadedComment ref="L5" dT="2026-06-03T14:11:27.00" personId="{4eec80c5-bee8-4f5c-b03a-68897d01b7e6}" id="{191f8bf3-34f3-4080-969f-040e4b5611ca}" done="0">
    <x18tc:text xml:space="preserve">08/04/26</x18tc:text>
  </x18tc:threadedComment>
  <x18tc:threadedComment ref="J13" dT="2026-06-15T09:00:21.00" personId="{4eec80c5-bee8-4f5c-b03a-68897d01b7e6}" id="{1a02db01-f138-47cc-ad67-2567e2babe1b}" done="0">
    <x18tc:text xml:space="preserve">11/06/26</x18tc:text>
  </x18tc:threadedComment>
  <x18tc:threadedComment ref="I4" dT="2025-11-06T09:21:29.00" personId="{4eec80c5-bee8-4f5c-b03a-68897d01b7e6}" id="{c658ff8b-df48-4940-8588-3408d856f1d5}" done="0">
    <x18tc:text xml:space="preserve">06/11/2025</x18tc:text>
  </x18tc:threadedComment>
  <x18tc:threadedComment ref="G19" dT="2026-06-26T14:39:14.00" personId="{4eec80c5-bee8-4f5c-b03a-68897d01b7e6}" id="{e7867e0d-92ba-4ce6-a6b4-e889ae3cb12f}" done="0">
    <x18tc:text xml:space="preserve">26/06/2026</x18tc:text>
  </x18tc:threadedComment>
  <x18tc:threadedComment ref="I3" dT="2025-11-06T09:24:49.00" personId="{4eec80c5-bee8-4f5c-b03a-68897d01b7e6}" id="{87a32064-ac12-42f8-9ded-588dfe6aa61e}" done="0">
    <x18tc:text xml:space="preserve">01/11/2025</x18tc:text>
  </x18tc:threadedComment>
  <x18tc:threadedComment ref="D2" dT="2025-11-06T09:22:28.00" personId="{4eec80c5-bee8-4f5c-b03a-68897d01b7e6}" id="{14601b2c-da0c-4874-bf9f-5ed31d989859}" done="0">
    <x18tc:text xml:space="preserve">Dany Bought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7" dT="2026-02-17T11:49:52.00" personId="{4eec80c5-bee8-4f5c-b03a-68897d01b7e6}" id="{d351d60e-77f2-4c12-9c6a-90d6b006d99c}" done="0">
    <x18tc:text xml:space="preserve">20/01/26</x18tc:text>
  </x18tc:threadedComment>
  <x18tc:threadedComment ref="F4" dT="2025-12-11T08:20:05.00" personId="{4eec80c5-bee8-4f5c-b03a-68897d01b7e6}" id="{25ad158e-ba72-4809-ab45-42695229ddc7}" done="0">
    <x18tc:text xml:space="preserve">CBE MER</x18tc:text>
  </x18tc:threadedComment>
  <x18tc:threadedComment ref="F5" dT="2025-12-11T08:19:17.00" personId="{4eec80c5-bee8-4f5c-b03a-68897d01b7e6}" id="{37665b57-fbc1-4e01-90a6-261237e90f66}" done="0">
    <x18tc:text xml:space="preserve">Cash 11/12/2025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8" dT="2026-02-11T10:15:03.00" personId="{4eec80c5-bee8-4f5c-b03a-68897d01b7e6}" id="{15ad9a95-19a1-437f-acca-01bd0437c787}" done="0">
    <x18tc:text xml:space="preserve">09/02/2026</x18tc:text>
  </x18tc:threadedComment>
  <x18tc:threadedComment ref="G6" dT="2025-12-11T07:15:41.00" personId="{4eec80c5-bee8-4f5c-b03a-68897d01b7e6}" id="{adffea2f-a2e7-46cf-84cb-d15381b8a809}" done="0">
    <x18tc:text xml:space="preserve">2</x18tc:text>
  </x18tc:threadedComment>
  <x18tc:threadedComment ref="J6" dT="2025-12-11T07:19:05.00" personId="{4eec80c5-bee8-4f5c-b03a-68897d01b7e6}" id="{083e2488-f506-4352-a48d-0a3c20f537be}" done="0">
    <x18tc:text xml:space="preserve">10/12/2025</x18tc:text>
  </x18tc:threadedComment>
  <x18tc:threadedComment ref="L10" dT="2026-02-17T11:24:32.00" personId="{4eec80c5-bee8-4f5c-b03a-68897d01b7e6}" id="{f050e798-d8f3-40b7-863c-0ad2c59af3f2}" done="0">
    <x18tc:text xml:space="preserve">17/02/26</x18tc:text>
  </x18tc:threadedComment>
  <x18tc:threadedComment ref="J10" dT="2025-12-11T07:12:14.00" personId="{4eec80c5-bee8-4f5c-b03a-68897d01b7e6}" id="{cd057aa3-f495-441a-8019-8edcb7fcd36f}" done="0">
    <x18tc:text xml:space="preserve">05/12/2025</x18tc:text>
  </x18tc:threadedComment>
  <x18tc:threadedComment ref="P8" dT="2026-03-15T10:37:18.00" personId="{4eec80c5-bee8-4f5c-b03a-68897d01b7e6}" id="{7415841f-2bd1-4067-957e-27fd2594ec4b}" done="0">
    <x18tc:text xml:space="preserve">15/03/26</x18tc:text>
  </x18tc:threadedComment>
  <x18tc:threadedComment ref="J8" dT="2025-12-11T07:11:20.00" personId="{4eec80c5-bee8-4f5c-b03a-68897d01b7e6}" id="{69b17d37-3ddb-4b91-88ed-72490d68f2fa}" done="0">
    <x18tc:text xml:space="preserve">10/12/2025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2" dT="2026-04-02T10:59:24.00" personId="{4eec80c5-bee8-4f5c-b03a-68897d01b7e6}" id="{9f6cbe6e-bc8f-4ddc-a475-5b1cd5af2330}" done="0">
    <x18tc:text xml:space="preserve">Pos hibret - 17/03/26</x18tc:text>
  </x18tc:threadedComment>
  <x18tc:threadedComment ref="I8" dT="2025-11-16T12:13:13.00" personId="{4eec80c5-bee8-4f5c-b03a-68897d01b7e6}" id="{04802c8c-059c-434e-b0ed-3b2cb00f8438}" done="0">
    <x18tc:text xml:space="preserve">16800 - with doro  CBE Transfer</x18tc:text>
  </x18tc:threadedComment>
  <x18tc:threadedComment ref="K18" dT="2025-12-26T13:09:07.00" personId="{4eec80c5-bee8-4f5c-b03a-68897d01b7e6}" id="{fb2bc7fb-b77f-460b-9e37-a1f9866d7732}" done="0">
    <x18tc:text xml:space="preserve">Christmas Gift</x18tc:text>
  </x18tc:threadedComment>
  <x18tc:threadedComment ref="J18" dT="2025-12-26T13:08:52.00" personId="{4eec80c5-bee8-4f5c-b03a-68897d01b7e6}" id="{6feb2700-16d9-40f5-8c23-7734a30fc6a2}" done="0">
    <x18tc:text xml:space="preserve">Christmas Gift</x18tc:text>
  </x18tc:threadedComment>
  <x18tc:threadedComment ref="I20" dT="2025-12-26T13:10:26.00" personId="{4eec80c5-bee8-4f5c-b03a-68897d01b7e6}" id="{4ee2ff18-0d44-49a3-96ad-12d6019c0083}" done="0">
    <x18tc:text xml:space="preserve">Christmas Gift</x18tc:text>
  </x18tc:threadedComment>
  <x18tc:threadedComment ref="J19" dT="2025-12-26T13:09:33.00" personId="{4eec80c5-bee8-4f5c-b03a-68897d01b7e6}" id="{e21bf2e7-db6f-40ec-a8db-1de3cbbf674d}" done="0">
    <x18tc:text xml:space="preserve">Christmas Gift</x18tc:text>
  </x18tc:threadedComment>
  <x18tc:threadedComment ref="I18" dT="2025-12-26T13:04:46.00" personId="{4eec80c5-bee8-4f5c-b03a-68897d01b7e6}" id="{ae9101c6-75d0-49dd-8807-96d3465a8d79}" done="0">
    <x18tc:text xml:space="preserve">12/12/25 with rest</x18tc:text>
  </x18tc:threadedComment>
  <x18tc:threadedComment ref="I22" dT="2025-12-26T13:03:27.00" personId="{4eec80c5-bee8-4f5c-b03a-68897d01b7e6}" id="{5893762a-ebdc-4b0e-8ded-ef4c1f892e26}" done="0">
    <x18tc:text xml:space="preserve">12/12/25 with rest</x18tc:text>
  </x18tc:threadedComment>
  <x18tc:threadedComment ref="I42" dT="2025-12-26T13:06:49.00" personId="{4eec80c5-bee8-4f5c-b03a-68897d01b7e6}" id="{d6a9e3fa-f7bf-4aef-8fb8-a75652582456}" done="0">
    <x18tc:text xml:space="preserve">12/12/25 with rest</x18tc:text>
  </x18tc:threadedComment>
  <x18tc:threadedComment ref="J4" dT="2025-11-16T12:17:21.00" personId="{4eec80c5-bee8-4f5c-b03a-68897d01b7e6}" id="{5ee5e13b-a861-44a5-8d8e-5399773f630a}" done="0">
    <x18tc:text xml:space="preserve">With Rest- 3, Cash</x18tc:text>
  </x18tc:threadedComment>
  <x18tc:threadedComment ref="I7" dT="2025-11-16T12:18:09.00" personId="{4eec80c5-bee8-4f5c-b03a-68897d01b7e6}" id="{eff54a76-1f1a-4b5e-89fa-704dcc3537ba}" done="0">
    <x18tc:text xml:space="preserve">4- with rest</x18tc:text>
  </x18tc:threadedComment>
  <x18tc:threadedComment ref="J6" dT="2025-11-16T12:19:56.00" personId="{4eec80c5-bee8-4f5c-b03a-68897d01b7e6}" id="{9e12221a-32f0-4080-9dd9-c3fd9e1959e9}" done="0">
    <x18tc:text xml:space="preserve">2</x18tc:text>
  </x18tc:threadedComment>
  <x18tc:threadedComment ref="I26" dT="2026-04-02T10:58:50.00" personId="{4eec80c5-bee8-4f5c-b03a-68897d01b7e6}" id="{705b107c-66fe-48af-9362-5793f07a1df3}" done="0">
    <x18tc:text xml:space="preserve">Pos hibret - 17/03/26</x18tc:text>
  </x18tc:threadedComment>
  <x18tc:threadedComment ref="I26" dT="2026-04-02T10:59:51.00" personId="{4eec80c5-bee8-4f5c-b03a-68897d01b7e6}" id="{220e07f3-051c-40f6-a459-c9503309bce1}" parentId="{705b107c-66fe-48af-9362-5793f07a1df3}">
    <x18tc:text xml:space="preserve">2= 1kg</x18tc:text>
  </x18tc:threadedComment>
  <x18tc:threadedComment ref="I19" dT="2025-12-12T15:36:40.00" personId="{4eec80c5-bee8-4f5c-b03a-68897d01b7e6}" id="{55e19787-8b3d-48d2-b185-b9f3b7a44fbd}" done="0">
    <x18tc:text xml:space="preserve">With Rest</x18tc:text>
  </x18tc:threadedComment>
  <x18tc:threadedComment ref="J41" dT="2025-12-12T15:37:07.00" personId="{4eec80c5-bee8-4f5c-b03a-68897d01b7e6}" id="{f19efce6-cdd2-4834-854d-79cd31f1ccd1}" done="0">
    <x18tc:text xml:space="preserve">Sofia Gift</x18tc:text>
  </x18tc:threadedComment>
  <x18tc:threadedComment ref="I6" dT="2025-11-27T08:58:25.00" personId="{4eec80c5-bee8-4f5c-b03a-68897d01b7e6}" id="{122f1949-b46c-4a9b-839b-109cd1cc8054}" done="0">
    <x18tc:text xml:space="preserve">pos hibret - 1/11/2025</x18tc:text>
  </x18tc:threadedComment>
  <x18tc:threadedComment ref="I4" dT="2025-11-27T08:35:50.00" personId="{4eec80c5-bee8-4f5c-b03a-68897d01b7e6}" id="{5879465c-108b-4a4b-b597-aa172e5f514a}" done="0">
    <x18tc:text xml:space="preserve">1 - movie night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5" dT="2025-12-12T15:40:50.00" personId="{4eec80c5-bee8-4f5c-b03a-68897d01b7e6}" id="{f4c8f929-364a-401f-add8-9a3dc89e701c}" done="0">
    <x18tc:text xml:space="preserve">coats _ Cash $</x18tc:text>
  </x18tc:threadedComment>
  <x18tc:threadedComment ref="F6" dT="2025-12-12T15:41:46.00" personId="{4eec80c5-bee8-4f5c-b03a-68897d01b7e6}" id="{7b7caf1d-385f-46c4-a09f-1b53323d5e2a}" done="0">
    <x18tc:text xml:space="preserve">1 $</x18tc:text>
  </x18tc:threadedComment>
  <x18tc:threadedComment ref="G6" dT="2026-03-15T10:41:51.00" personId="{4eec80c5-bee8-4f5c-b03a-68897d01b7e6}" id="{75d79365-e37f-45f0-927b-ac917ffabc34}" done="0">
    <x18tc:text xml:space="preserve">POS Hibret - 12/03/26</x18tc:text>
  </x18tc:threadedComment>
  <x18tc:threadedComment ref="G4" dT="2025-12-11T07:46:57.00" personId="{4eec80c5-bee8-4f5c-b03a-68897d01b7e6}" id="{13f00485-1187-496e-bf12-f97ad03e62fc}" done="0">
    <x18tc:text xml:space="preserve">Pos Hibret (10/12/2025) blueish</x18tc:text>
  </x18tc:threadedComment>
  <x18tc:threadedComment ref="F4" dT="2025-10-20T10:17:39.00" personId="{4eec80c5-bee8-4f5c-b03a-68897d01b7e6}" id="{df558572-81d6-4a70-9bf7-aa4affd1f853}" done="0">
    <x18tc:text xml:space="preserve">CBE Transfer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0" dT="2026-07-29T13:11:27.00" personId="{4eec80c5-bee8-4f5c-b03a-68897d01b7e6}" id="{bc6a5d65-cfc6-4946-a30c-3d627288384f}" done="0">
    <x18tc:text xml:space="preserve">540.5</x18tc:text>
  </x18tc:threadedComment>
  <x18tc:threadedComment ref="H34" dT="2025-11-24T08:17:44.00" personId="{4eec80c5-bee8-4f5c-b03a-68897d01b7e6}" id="{fc28e23a-3992-43c9-a7c4-03621a696469}" done="0">
    <x18tc:text xml:space="preserve">2 - Cash</x18tc:text>
  </x18tc:threadedComment>
  <x18tc:threadedComment ref="H29" dT="2025-11-24T08:18:46.00" personId="{4eec80c5-bee8-4f5c-b03a-68897d01b7e6}" id="{7328300a-47db-416c-b52d-e479263c2880}" done="0">
    <x18tc:text xml:space="preserve">1- Cash</x18tc:text>
  </x18tc:threadedComment>
  <x18tc:threadedComment ref="I28" dT="2025-11-24T08:18:24.00" personId="{4eec80c5-bee8-4f5c-b03a-68897d01b7e6}" id="{4b2753c5-0880-4862-b767-43141b9684c6}" done="0">
    <x18tc:text xml:space="preserve">2 - Cash</x18tc:text>
  </x18tc:threadedComment>
  <x18tc:threadedComment ref="H26" dT="2025-12-12T12:42:31.00" personId="{4eec80c5-bee8-4f5c-b03a-68897d01b7e6}" id="{879ea4a2-3946-41b0-9cde-5065e31a7a96}" done="0">
    <x18tc:text xml:space="preserve">Cash</x18tc:text>
  </x18tc:threadedComment>
  <x18tc:threadedComment ref="H36" dT="2025-12-12T12:43:57.00" personId="{4eec80c5-bee8-4f5c-b03a-68897d01b7e6}" id="{9a3833f9-8caa-4722-b347-725e888c33e4}" done="0">
    <x18tc:text xml:space="preserve">Jochen - Cash</x18tc:text>
  </x18tc:threadedComment>
  <x18tc:threadedComment ref="H28" dT="2025-07-20T10:31:06.00" personId="{4eec80c5-bee8-4f5c-b03a-68897d01b7e6}" id="{19684381-c7d3-496a-b9e9-dcab0da0cd08}" done="0">
    <x18tc:text xml:space="preserve">Cash</x18tc:text>
  </x18tc:threadedComment>
  <x18tc:threadedComment ref="H51" dT="2026-07-29T09:47:21.00" personId="{4eec80c5-bee8-4f5c-b03a-68897d01b7e6}" id="{857290f1-e350-440a-a102-5f47e4775de4}" done="0">
    <x18tc:text xml:space="preserve">Telebirr with resto</x18tc:text>
  </x18tc:threadedComment>
  <x18tc:threadedComment ref="H25" dT="2025-12-11T08:23:18.00" personId="{4eec80c5-bee8-4f5c-b03a-68897d01b7e6}" id="{bf1dc6e4-6052-4c5d-ad8d-f33277120ab5}" done="0">
    <x18tc:text xml:space="preserve">Cash (11/12/2025)</x18tc:text>
  </x18tc:threadedComment>
  <x18tc:threadedComment ref="H64" dT="2026-08-04T11:40:08.00" personId="{4eec80c5-bee8-4f5c-b03a-68897d01b7e6}" id="{850a9162-bccc-4fd6-ac8e-d04d5d852f17}" done="0">
    <x18tc:text xml:space="preserve">2 - 4,968 (04/8/26)</x18tc:text>
  </x18tc:threadedComment>
  <x18tc:threadedComment ref="H67" dT="2026-08-04T11:39:32.00" personId="{4eec80c5-bee8-4f5c-b03a-68897d01b7e6}" id="{775f8b42-5c12-428d-a366-aeccd384e244}" done="0">
    <x18tc:text xml:space="preserve">4,968 (04/8/26)</x18tc:text>
  </x18tc:threadedComment>
  <x18tc:threadedComment ref="H62" dT="2026-08-04T11:39:44.00" personId="{4eec80c5-bee8-4f5c-b03a-68897d01b7e6}" id="{a3a093cb-1535-489c-a293-fe272a7ebcd3}" done="0">
    <x18tc:text xml:space="preserve">4,968 (04/8/26)</x18tc:text>
  </x18tc:threadedComment>
  <x18tc:threadedComment ref="H32" dT="2025-11-24T08:17:25.00" personId="{4eec80c5-bee8-4f5c-b03a-68897d01b7e6}" id="{4a4566c6-3f3e-4e01-986f-a4f40f4ef407}" done="0">
    <x18tc:text xml:space="preserve">2 - Cash</x18tc:text>
  </x18tc:threadedComment>
  <x18tc:threadedComment ref="H30" dT="2025-11-24T08:20:58.00" personId="{4eec80c5-bee8-4f5c-b03a-68897d01b7e6}" id="{8a20a24e-088a-464c-8269-04e6489b2984}" done="0">
    <x18tc:text xml:space="preserve">1 - Cash</x18tc:text>
  </x18tc:threadedComment>
  <x18tc:threadedComment ref="H68" dT="2026-08-04T11:39:26.00" personId="{4eec80c5-bee8-4f5c-b03a-68897d01b7e6}" id="{041f0bab-5706-426e-839f-5b927192b6d2}" done="0">
    <x18tc:text xml:space="preserve">4,968 (04/8/26)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8.86"/>
    <col customWidth="1" min="3" max="3" width="16.14"/>
    <col customWidth="1" min="4" max="4" width="33.71"/>
    <col customWidth="1" min="5" max="5" width="8.86"/>
    <col customWidth="1" min="6" max="6" width="11.14"/>
    <col customWidth="1" min="7" max="8" width="13.57"/>
    <col customWidth="1" min="9" max="9" width="14.86"/>
    <col customWidth="1" min="10" max="10" width="21.57"/>
    <col customWidth="1" min="11" max="11" width="8.0"/>
    <col customWidth="1" min="12" max="12" width="12.57"/>
    <col customWidth="1" min="13" max="13" width="8.0"/>
    <col customWidth="1" min="14" max="14" width="14.14"/>
    <col customWidth="1" min="15" max="15" width="8.0"/>
    <col customWidth="1" min="16" max="16" width="13.43"/>
    <col customWidth="1" min="17" max="17" width="8.0"/>
    <col customWidth="1" min="18" max="18" width="11.43"/>
    <col customWidth="1" min="19" max="23" width="8.0"/>
    <col customWidth="1" min="24" max="26" width="11.0"/>
    <col customWidth="1" min="27" max="41" width="8.0"/>
  </cols>
  <sheetData>
    <row r="1" ht="14.25" customHeight="1">
      <c r="A1" s="5"/>
      <c r="B1" s="6"/>
      <c r="C1" s="6"/>
    </row>
    <row r="2" ht="14.25" customHeight="1">
      <c r="B2" s="6"/>
      <c r="C2" s="6"/>
    </row>
    <row r="3" ht="14.25" customHeight="1">
      <c r="B3" s="6"/>
      <c r="C3" s="6"/>
    </row>
    <row r="4" ht="14.25" customHeight="1">
      <c r="A4" s="10" t="s">
        <v>3</v>
      </c>
      <c r="B4" s="6"/>
      <c r="C4" s="6"/>
    </row>
    <row r="5" ht="14.25" customHeight="1">
      <c r="B5" s="13" t="s">
        <v>5</v>
      </c>
      <c r="C5" s="13" t="s">
        <v>13</v>
      </c>
      <c r="D5" s="17" t="s">
        <v>14</v>
      </c>
      <c r="E5" s="17" t="s">
        <v>6</v>
      </c>
      <c r="F5" s="17"/>
      <c r="G5" s="17"/>
      <c r="H5" s="17" t="s">
        <v>26</v>
      </c>
      <c r="I5" s="17" t="s">
        <v>9</v>
      </c>
      <c r="J5" s="17" t="s">
        <v>27</v>
      </c>
      <c r="K5" s="17" t="s">
        <v>28</v>
      </c>
      <c r="L5" s="17" t="s">
        <v>29</v>
      </c>
      <c r="M5" s="17" t="s">
        <v>28</v>
      </c>
      <c r="N5" s="20" t="s">
        <v>30</v>
      </c>
      <c r="O5" s="17" t="s">
        <v>28</v>
      </c>
      <c r="P5" s="20" t="s">
        <v>24</v>
      </c>
      <c r="Q5" s="17" t="s">
        <v>28</v>
      </c>
      <c r="R5" s="20" t="s">
        <v>25</v>
      </c>
      <c r="S5" s="17" t="s">
        <v>28</v>
      </c>
      <c r="T5" s="17"/>
      <c r="U5" s="17"/>
      <c r="V5" s="17"/>
      <c r="W5" s="17"/>
      <c r="X5" s="17"/>
      <c r="Y5" s="17"/>
      <c r="Z5" s="17" t="s">
        <v>33</v>
      </c>
    </row>
    <row r="6" ht="14.25" customHeight="1">
      <c r="B6" s="22">
        <v>1.0</v>
      </c>
      <c r="C6" s="22">
        <v>11502.0</v>
      </c>
      <c r="D6" s="23" t="s">
        <v>34</v>
      </c>
      <c r="E6" s="23">
        <v>4.0</v>
      </c>
      <c r="F6" s="25"/>
      <c r="G6" s="25"/>
      <c r="H6" s="25">
        <v>400.0</v>
      </c>
      <c r="I6" s="26">
        <v>1600.0</v>
      </c>
      <c r="J6" s="27" t="s">
        <v>61</v>
      </c>
      <c r="K6" s="27">
        <v>3.0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>
        <f t="shared" ref="Z6:Z18" si="1">E6-(K6+M6)</f>
        <v>1</v>
      </c>
    </row>
    <row r="7" ht="14.25" customHeight="1">
      <c r="B7" s="22">
        <v>2.0</v>
      </c>
      <c r="C7" s="22">
        <v>10518.0</v>
      </c>
      <c r="D7" s="23" t="s">
        <v>63</v>
      </c>
      <c r="E7" s="23">
        <v>1.0</v>
      </c>
      <c r="F7" s="31"/>
      <c r="G7" s="31"/>
      <c r="H7" s="31">
        <v>700.0</v>
      </c>
      <c r="I7" s="34">
        <v>700.0</v>
      </c>
      <c r="J7" s="27" t="s">
        <v>78</v>
      </c>
      <c r="K7" s="27">
        <v>1.0</v>
      </c>
      <c r="L7" s="27" t="s">
        <v>79</v>
      </c>
      <c r="M7" s="27">
        <v>1.0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>
        <f t="shared" si="1"/>
        <v>-1</v>
      </c>
      <c r="AA7" s="38" t="s">
        <v>80</v>
      </c>
    </row>
    <row r="8" ht="14.25" customHeight="1">
      <c r="B8" s="22">
        <v>3.0</v>
      </c>
      <c r="C8" s="22">
        <v>20524.0</v>
      </c>
      <c r="D8" s="23" t="s">
        <v>88</v>
      </c>
      <c r="E8" s="23">
        <v>1.0</v>
      </c>
      <c r="F8" s="31"/>
      <c r="G8" s="31"/>
      <c r="H8" s="31">
        <v>1100.0</v>
      </c>
      <c r="I8" s="34">
        <v>1100.0</v>
      </c>
      <c r="J8" s="27" t="s">
        <v>89</v>
      </c>
      <c r="K8" s="27">
        <v>1.0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>
        <f t="shared" si="1"/>
        <v>0</v>
      </c>
    </row>
    <row r="9" ht="14.25" customHeight="1">
      <c r="B9" s="22">
        <v>4.0</v>
      </c>
      <c r="C9" s="22">
        <v>11501.0</v>
      </c>
      <c r="D9" s="23" t="s">
        <v>94</v>
      </c>
      <c r="E9" s="23">
        <v>7.0</v>
      </c>
      <c r="F9" s="31"/>
      <c r="G9" s="31"/>
      <c r="H9" s="31">
        <v>1050.0</v>
      </c>
      <c r="I9" s="34">
        <v>7350.0</v>
      </c>
      <c r="J9" s="27" t="s">
        <v>95</v>
      </c>
      <c r="K9" s="27">
        <v>1.0</v>
      </c>
      <c r="L9" s="27" t="s">
        <v>96</v>
      </c>
      <c r="M9" s="27">
        <v>1.0</v>
      </c>
      <c r="N9" s="27" t="s">
        <v>97</v>
      </c>
      <c r="O9" s="27">
        <v>1.0</v>
      </c>
      <c r="P9" s="27"/>
      <c r="Q9" s="27"/>
      <c r="R9" s="27"/>
      <c r="S9" s="27"/>
      <c r="T9" s="27"/>
      <c r="U9" s="27"/>
      <c r="V9" s="27"/>
      <c r="W9" s="27"/>
      <c r="X9" s="23"/>
      <c r="Y9" s="23"/>
      <c r="Z9" s="23">
        <f t="shared" si="1"/>
        <v>5</v>
      </c>
    </row>
    <row r="10" ht="14.25" customHeight="1">
      <c r="B10" s="22">
        <v>5.0</v>
      </c>
      <c r="C10" s="22">
        <v>10907.0</v>
      </c>
      <c r="D10" s="23" t="s">
        <v>99</v>
      </c>
      <c r="E10" s="23">
        <v>3.0</v>
      </c>
      <c r="F10" s="31"/>
      <c r="G10" s="31"/>
      <c r="H10" s="31">
        <v>2300.0</v>
      </c>
      <c r="I10" s="34">
        <v>6900.0</v>
      </c>
      <c r="J10" s="27" t="s">
        <v>78</v>
      </c>
      <c r="K10" s="27">
        <v>1.0</v>
      </c>
      <c r="L10" s="27" t="s">
        <v>79</v>
      </c>
      <c r="M10" s="27">
        <v>1.0</v>
      </c>
      <c r="N10" s="15" t="s">
        <v>102</v>
      </c>
      <c r="O10" s="27">
        <v>1.0</v>
      </c>
      <c r="P10" s="15" t="s">
        <v>102</v>
      </c>
      <c r="Q10" s="27">
        <v>1.0</v>
      </c>
      <c r="R10" s="27"/>
      <c r="S10" s="27"/>
      <c r="T10" s="27"/>
      <c r="U10" s="27"/>
      <c r="V10" s="27"/>
      <c r="W10" s="27"/>
      <c r="X10" s="23"/>
      <c r="Y10" s="23"/>
      <c r="Z10" s="23">
        <f t="shared" si="1"/>
        <v>1</v>
      </c>
      <c r="AA10" s="38" t="s">
        <v>80</v>
      </c>
    </row>
    <row r="11" ht="14.25" customHeight="1">
      <c r="B11" s="22">
        <v>6.0</v>
      </c>
      <c r="C11" s="22">
        <v>10643.0</v>
      </c>
      <c r="D11" s="23" t="s">
        <v>104</v>
      </c>
      <c r="E11" s="23">
        <v>1.0</v>
      </c>
      <c r="F11" s="31"/>
      <c r="G11" s="31"/>
      <c r="H11" s="31">
        <v>950.0</v>
      </c>
      <c r="I11" s="34">
        <v>950.0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>
        <f t="shared" si="1"/>
        <v>1</v>
      </c>
    </row>
    <row r="12" ht="14.25" customHeight="1">
      <c r="B12" s="22">
        <v>7.0</v>
      </c>
      <c r="C12" s="22">
        <v>20610.0</v>
      </c>
      <c r="D12" s="23" t="s">
        <v>107</v>
      </c>
      <c r="E12" s="23">
        <v>1.0</v>
      </c>
      <c r="F12" s="31"/>
      <c r="G12" s="31"/>
      <c r="H12" s="31">
        <v>1700.0</v>
      </c>
      <c r="I12" s="34">
        <v>1700.0</v>
      </c>
      <c r="J12" s="27" t="s">
        <v>109</v>
      </c>
      <c r="K12" s="27">
        <v>1.0</v>
      </c>
      <c r="L12" s="44" t="s">
        <v>111</v>
      </c>
      <c r="M12" s="27">
        <v>2.0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>
        <f t="shared" si="1"/>
        <v>-2</v>
      </c>
    </row>
    <row r="13" ht="14.25" customHeight="1">
      <c r="B13" s="22">
        <v>8.0</v>
      </c>
      <c r="C13" s="22">
        <v>10622.0</v>
      </c>
      <c r="D13" s="23" t="s">
        <v>112</v>
      </c>
      <c r="E13" s="23">
        <v>1.0</v>
      </c>
      <c r="F13" s="31"/>
      <c r="G13" s="31"/>
      <c r="H13" s="31">
        <v>850.0</v>
      </c>
      <c r="I13" s="34">
        <v>850.0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>
        <f t="shared" si="1"/>
        <v>1</v>
      </c>
    </row>
    <row r="14" ht="14.25" customHeight="1">
      <c r="B14" s="22">
        <v>9.0</v>
      </c>
      <c r="C14" s="22">
        <v>10639.0</v>
      </c>
      <c r="D14" s="23" t="s">
        <v>113</v>
      </c>
      <c r="E14" s="23">
        <v>1.0</v>
      </c>
      <c r="F14" s="31"/>
      <c r="G14" s="31"/>
      <c r="H14" s="31">
        <v>850.0</v>
      </c>
      <c r="I14" s="34">
        <v>850.0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>
        <f t="shared" si="1"/>
        <v>1</v>
      </c>
    </row>
    <row r="15" ht="14.25" customHeight="1">
      <c r="B15" s="22">
        <v>10.0</v>
      </c>
      <c r="C15" s="22">
        <v>60608.0</v>
      </c>
      <c r="D15" s="23" t="s">
        <v>114</v>
      </c>
      <c r="E15" s="23">
        <v>1.0</v>
      </c>
      <c r="F15" s="31"/>
      <c r="G15" s="31"/>
      <c r="H15" s="31">
        <v>1600.0</v>
      </c>
      <c r="I15" s="34">
        <v>1600.0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>
        <f t="shared" si="1"/>
        <v>1</v>
      </c>
    </row>
    <row r="16" ht="14.25" customHeight="1">
      <c r="B16" s="22">
        <v>11.0</v>
      </c>
      <c r="C16" s="22">
        <v>20607.0</v>
      </c>
      <c r="D16" s="23" t="s">
        <v>115</v>
      </c>
      <c r="E16" s="23">
        <v>1.0</v>
      </c>
      <c r="F16" s="31"/>
      <c r="G16" s="31"/>
      <c r="H16" s="31">
        <v>700.0</v>
      </c>
      <c r="I16" s="34">
        <v>700.0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>
        <f t="shared" si="1"/>
        <v>1</v>
      </c>
    </row>
    <row r="17" ht="14.25" customHeight="1">
      <c r="B17" s="22">
        <v>12.0</v>
      </c>
      <c r="C17" s="22">
        <v>10516.0</v>
      </c>
      <c r="D17" s="23" t="s">
        <v>116</v>
      </c>
      <c r="E17" s="23">
        <v>1.0</v>
      </c>
      <c r="F17" s="31"/>
      <c r="G17" s="31"/>
      <c r="H17" s="31">
        <v>600.0</v>
      </c>
      <c r="I17" s="34">
        <v>600.0</v>
      </c>
      <c r="J17" s="27" t="s">
        <v>117</v>
      </c>
      <c r="K17" s="27">
        <v>1.0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>
        <f t="shared" si="1"/>
        <v>0</v>
      </c>
    </row>
    <row r="18" ht="14.25" customHeight="1">
      <c r="B18" s="22">
        <v>13.0</v>
      </c>
      <c r="C18" s="22">
        <v>20528.0</v>
      </c>
      <c r="D18" s="23" t="s">
        <v>118</v>
      </c>
      <c r="E18" s="23">
        <v>2.0</v>
      </c>
      <c r="F18" s="31"/>
      <c r="G18" s="31"/>
      <c r="H18" s="31">
        <v>850.0</v>
      </c>
      <c r="I18" s="34">
        <v>1700.0</v>
      </c>
      <c r="J18" s="27" t="s">
        <v>35</v>
      </c>
      <c r="K18" s="27">
        <v>1.0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>
        <f t="shared" si="1"/>
        <v>1</v>
      </c>
    </row>
    <row r="19" ht="14.25" customHeight="1">
      <c r="B19" s="6"/>
      <c r="C19" s="6"/>
    </row>
    <row r="20" ht="14.25" customHeight="1">
      <c r="A20" s="40"/>
      <c r="B20" s="49"/>
      <c r="C20" s="49"/>
      <c r="D20" s="40" t="s">
        <v>119</v>
      </c>
      <c r="E20" s="40">
        <f>SUM(E6:E18)</f>
        <v>25</v>
      </c>
      <c r="F20" s="40"/>
      <c r="G20" s="40"/>
      <c r="H20" s="40"/>
      <c r="I20" s="43">
        <f>SUM(I6:I18)</f>
        <v>26600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</row>
    <row r="21" ht="14.25" customHeight="1">
      <c r="B21" s="6"/>
      <c r="C21" s="6"/>
    </row>
    <row r="22" ht="14.25" customHeight="1">
      <c r="B22" s="52" t="s">
        <v>5</v>
      </c>
      <c r="C22" s="52" t="s">
        <v>13</v>
      </c>
      <c r="D22" s="54" t="s">
        <v>14</v>
      </c>
      <c r="E22" s="54" t="s">
        <v>6</v>
      </c>
      <c r="F22" s="54"/>
      <c r="G22" s="54"/>
      <c r="H22" s="54" t="s">
        <v>26</v>
      </c>
      <c r="I22" s="54" t="s">
        <v>9</v>
      </c>
      <c r="J22" s="54" t="s">
        <v>27</v>
      </c>
      <c r="K22" s="54" t="s">
        <v>28</v>
      </c>
      <c r="L22" s="54" t="s">
        <v>29</v>
      </c>
      <c r="M22" s="54" t="s">
        <v>28</v>
      </c>
      <c r="N22" s="56" t="s">
        <v>30</v>
      </c>
      <c r="O22" s="54" t="s">
        <v>28</v>
      </c>
      <c r="P22" s="56" t="s">
        <v>24</v>
      </c>
      <c r="Q22" s="54" t="s">
        <v>28</v>
      </c>
      <c r="R22" s="54"/>
      <c r="S22" s="54"/>
      <c r="T22" s="54"/>
      <c r="U22" s="54"/>
      <c r="V22" s="54"/>
      <c r="W22" s="54"/>
      <c r="X22" s="54"/>
      <c r="Y22" s="54"/>
      <c r="Z22" s="54" t="s">
        <v>33</v>
      </c>
    </row>
    <row r="23" ht="14.25" customHeight="1">
      <c r="B23" s="22">
        <v>1.0</v>
      </c>
      <c r="C23" s="57">
        <v>10628.0</v>
      </c>
      <c r="D23" s="27" t="s">
        <v>124</v>
      </c>
      <c r="E23" s="27">
        <v>2.0</v>
      </c>
      <c r="F23" s="25"/>
      <c r="G23" s="25"/>
      <c r="H23" s="25">
        <v>850.0</v>
      </c>
      <c r="I23" s="26">
        <v>1600.0</v>
      </c>
      <c r="J23" s="27"/>
      <c r="K23" s="27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58"/>
      <c r="Y23" s="58"/>
      <c r="Z23" s="58">
        <f t="shared" ref="Z23:Z37" si="2">E23-(K23+M23)</f>
        <v>2</v>
      </c>
    </row>
    <row r="24" ht="14.25" customHeight="1">
      <c r="B24" s="57">
        <v>2.0</v>
      </c>
      <c r="C24" s="57">
        <v>20528.0</v>
      </c>
      <c r="D24" s="15" t="s">
        <v>125</v>
      </c>
      <c r="E24" s="15">
        <v>3.0</v>
      </c>
      <c r="F24" s="15"/>
      <c r="G24" s="15"/>
      <c r="H24" s="15">
        <v>850.0</v>
      </c>
      <c r="I24" s="26">
        <v>1600.0</v>
      </c>
      <c r="J24" s="15" t="s">
        <v>126</v>
      </c>
      <c r="K24" s="15">
        <v>1.0</v>
      </c>
      <c r="L24" s="15" t="s">
        <v>127</v>
      </c>
      <c r="M24" s="15">
        <v>1.0</v>
      </c>
      <c r="N24" s="5"/>
      <c r="O24" s="5"/>
      <c r="P24" s="5"/>
      <c r="Q24" s="5"/>
      <c r="R24" s="60"/>
      <c r="S24" s="60"/>
      <c r="T24" s="60"/>
      <c r="U24" s="60"/>
      <c r="V24" s="60"/>
      <c r="W24" s="60"/>
      <c r="X24" s="62"/>
      <c r="Y24" s="62"/>
      <c r="Z24" s="62">
        <f t="shared" si="2"/>
        <v>1</v>
      </c>
    </row>
    <row r="25" ht="14.25" customHeight="1">
      <c r="B25" s="57">
        <v>3.0</v>
      </c>
      <c r="C25" s="57">
        <v>10605.0</v>
      </c>
      <c r="D25" s="15" t="s">
        <v>128</v>
      </c>
      <c r="E25" s="15">
        <v>3.0</v>
      </c>
      <c r="F25" s="15"/>
      <c r="G25" s="15"/>
      <c r="H25" s="15">
        <v>900.0</v>
      </c>
      <c r="I25" s="26">
        <v>1600.0</v>
      </c>
      <c r="J25" s="15" t="s">
        <v>129</v>
      </c>
      <c r="K25" s="15">
        <v>1.0</v>
      </c>
      <c r="L25" s="15" t="s">
        <v>130</v>
      </c>
      <c r="M25" s="15">
        <v>1.0</v>
      </c>
      <c r="N25" s="15" t="s">
        <v>131</v>
      </c>
      <c r="O25" s="15">
        <v>1.0</v>
      </c>
      <c r="P25" s="5"/>
      <c r="Q25" s="5"/>
      <c r="R25" s="60"/>
      <c r="S25" s="60"/>
      <c r="T25" s="60"/>
      <c r="U25" s="60"/>
      <c r="V25" s="60"/>
      <c r="W25" s="60"/>
      <c r="X25" s="62"/>
      <c r="Y25" s="62"/>
      <c r="Z25" s="62">
        <f t="shared" si="2"/>
        <v>1</v>
      </c>
    </row>
    <row r="26" ht="14.25" customHeight="1">
      <c r="B26" s="57">
        <v>4.0</v>
      </c>
      <c r="C26" s="57">
        <v>11502.0</v>
      </c>
      <c r="D26" s="15" t="s">
        <v>132</v>
      </c>
      <c r="E26" s="15">
        <v>30.0</v>
      </c>
      <c r="F26" s="15"/>
      <c r="G26" s="15"/>
      <c r="H26" s="15">
        <v>400.0</v>
      </c>
      <c r="I26" s="26">
        <v>1600.0</v>
      </c>
      <c r="J26" s="15" t="s">
        <v>133</v>
      </c>
      <c r="K26" s="15">
        <v>3.0</v>
      </c>
      <c r="L26" s="15" t="s">
        <v>134</v>
      </c>
      <c r="M26" s="15">
        <v>5.0</v>
      </c>
      <c r="N26" s="15" t="s">
        <v>135</v>
      </c>
      <c r="O26" s="15">
        <v>2.0</v>
      </c>
      <c r="P26" s="15" t="s">
        <v>129</v>
      </c>
      <c r="Q26" s="15">
        <v>3.0</v>
      </c>
      <c r="R26" s="15" t="s">
        <v>129</v>
      </c>
      <c r="S26" s="63">
        <v>9.0</v>
      </c>
      <c r="T26" s="63" t="s">
        <v>136</v>
      </c>
      <c r="U26" s="63">
        <v>2.0</v>
      </c>
      <c r="V26" s="63" t="s">
        <v>137</v>
      </c>
      <c r="W26" s="63">
        <v>3.0</v>
      </c>
      <c r="X26" s="64" t="s">
        <v>89</v>
      </c>
      <c r="Y26" s="64">
        <v>1.0</v>
      </c>
      <c r="Z26" s="62">
        <f t="shared" si="2"/>
        <v>22</v>
      </c>
    </row>
    <row r="27" ht="14.25" customHeight="1">
      <c r="B27" s="57">
        <v>5.0</v>
      </c>
      <c r="C27" s="57">
        <v>20522.0</v>
      </c>
      <c r="D27" s="15" t="s">
        <v>138</v>
      </c>
      <c r="E27" s="15">
        <v>1.0</v>
      </c>
      <c r="F27" s="5"/>
      <c r="G27" s="5"/>
      <c r="H27" s="5"/>
      <c r="I27" s="26">
        <v>1600.0</v>
      </c>
      <c r="J27" s="15" t="s">
        <v>139</v>
      </c>
      <c r="K27" s="15">
        <v>1.0</v>
      </c>
      <c r="L27" s="5"/>
      <c r="M27" s="5"/>
      <c r="N27" s="5"/>
      <c r="O27" s="5"/>
      <c r="P27" s="5"/>
      <c r="Q27" s="5"/>
      <c r="R27" s="60"/>
      <c r="S27" s="60"/>
      <c r="T27" s="60"/>
      <c r="U27" s="60"/>
      <c r="V27" s="60"/>
      <c r="W27" s="60"/>
      <c r="X27" s="62"/>
      <c r="Y27" s="62"/>
      <c r="Z27" s="62">
        <f t="shared" si="2"/>
        <v>0</v>
      </c>
    </row>
    <row r="28" ht="14.25" customHeight="1">
      <c r="B28" s="57">
        <v>6.0</v>
      </c>
      <c r="C28" s="57">
        <v>11501.0</v>
      </c>
      <c r="D28" s="15" t="s">
        <v>140</v>
      </c>
      <c r="E28" s="15">
        <v>2.0</v>
      </c>
      <c r="F28" s="5"/>
      <c r="G28" s="5"/>
      <c r="H28" s="5"/>
      <c r="I28" s="26">
        <v>1600.0</v>
      </c>
      <c r="J28" s="15" t="s">
        <v>142</v>
      </c>
      <c r="K28" s="15">
        <v>1.0</v>
      </c>
      <c r="L28" s="5"/>
      <c r="M28" s="5"/>
      <c r="N28" s="5"/>
      <c r="O28" s="5"/>
      <c r="P28" s="5"/>
      <c r="Q28" s="5"/>
      <c r="R28" s="60"/>
      <c r="S28" s="60"/>
      <c r="T28" s="60"/>
      <c r="U28" s="60"/>
      <c r="V28" s="60"/>
      <c r="W28" s="60"/>
      <c r="X28" s="62"/>
      <c r="Y28" s="62"/>
      <c r="Z28" s="62">
        <f t="shared" si="2"/>
        <v>1</v>
      </c>
    </row>
    <row r="29" ht="14.25" customHeight="1">
      <c r="B29" s="57">
        <v>7.0</v>
      </c>
      <c r="C29" s="57">
        <v>10803.0</v>
      </c>
      <c r="D29" s="15" t="s">
        <v>143</v>
      </c>
      <c r="E29" s="15">
        <v>1.0</v>
      </c>
      <c r="F29" s="5"/>
      <c r="G29" s="5"/>
      <c r="H29" s="5"/>
      <c r="I29" s="26">
        <v>1600.0</v>
      </c>
      <c r="J29" s="5"/>
      <c r="K29" s="5"/>
      <c r="L29" s="5"/>
      <c r="M29" s="5"/>
      <c r="N29" s="5"/>
      <c r="O29" s="5"/>
      <c r="P29" s="5"/>
      <c r="Q29" s="5"/>
      <c r="R29" s="60"/>
      <c r="S29" s="60"/>
      <c r="T29" s="60"/>
      <c r="U29" s="60"/>
      <c r="V29" s="60"/>
      <c r="W29" s="60"/>
      <c r="X29" s="62"/>
      <c r="Y29" s="62"/>
      <c r="Z29" s="62">
        <f t="shared" si="2"/>
        <v>1</v>
      </c>
    </row>
    <row r="30" ht="14.25" customHeight="1">
      <c r="B30" s="57">
        <v>8.0</v>
      </c>
      <c r="C30" s="57">
        <v>10639.0</v>
      </c>
      <c r="D30" s="15" t="s">
        <v>113</v>
      </c>
      <c r="E30" s="15">
        <v>8.0</v>
      </c>
      <c r="F30" s="15"/>
      <c r="G30" s="15"/>
      <c r="H30" s="15">
        <v>850.0</v>
      </c>
      <c r="I30" s="26">
        <v>1600.0</v>
      </c>
      <c r="J30" s="15" t="s">
        <v>144</v>
      </c>
      <c r="K30" s="15">
        <v>1.0</v>
      </c>
      <c r="L30" s="15" t="s">
        <v>145</v>
      </c>
      <c r="M30" s="15">
        <v>1.0</v>
      </c>
      <c r="N30" s="15" t="s">
        <v>102</v>
      </c>
      <c r="O30" s="15">
        <v>1.0</v>
      </c>
      <c r="P30" s="15" t="s">
        <v>147</v>
      </c>
      <c r="Q30" s="15">
        <v>1.0</v>
      </c>
      <c r="R30" s="63" t="s">
        <v>148</v>
      </c>
      <c r="S30" s="63">
        <v>1.0</v>
      </c>
      <c r="T30" s="63" t="s">
        <v>149</v>
      </c>
      <c r="U30" s="63">
        <v>1.0</v>
      </c>
      <c r="V30" s="63" t="s">
        <v>150</v>
      </c>
      <c r="W30" s="63">
        <v>1.0</v>
      </c>
      <c r="X30" s="64" t="s">
        <v>151</v>
      </c>
      <c r="Y30" s="64">
        <v>1.0</v>
      </c>
      <c r="Z30" s="62">
        <f t="shared" si="2"/>
        <v>6</v>
      </c>
    </row>
    <row r="31" ht="14.25" customHeight="1">
      <c r="B31" s="57">
        <v>9.0</v>
      </c>
      <c r="C31" s="57">
        <v>10643.0</v>
      </c>
      <c r="D31" s="15" t="s">
        <v>152</v>
      </c>
      <c r="E31" s="15">
        <v>6.0</v>
      </c>
      <c r="F31" s="15"/>
      <c r="G31" s="15"/>
      <c r="H31" s="15">
        <v>950.0</v>
      </c>
      <c r="I31" s="26">
        <v>1600.0</v>
      </c>
      <c r="J31" s="15" t="s">
        <v>133</v>
      </c>
      <c r="K31" s="15">
        <v>1.0</v>
      </c>
      <c r="L31" s="15" t="s">
        <v>133</v>
      </c>
      <c r="M31" s="15">
        <v>1.0</v>
      </c>
      <c r="N31" s="15" t="s">
        <v>102</v>
      </c>
      <c r="O31" s="15">
        <v>1.0</v>
      </c>
      <c r="P31" s="15" t="s">
        <v>153</v>
      </c>
      <c r="Q31" s="15">
        <v>1.0</v>
      </c>
      <c r="R31" s="63" t="s">
        <v>154</v>
      </c>
      <c r="S31" s="63">
        <v>2.0</v>
      </c>
      <c r="T31" s="66" t="s">
        <v>111</v>
      </c>
      <c r="U31" s="66">
        <v>1.0</v>
      </c>
      <c r="V31" s="66"/>
      <c r="W31" s="66"/>
      <c r="X31" s="64" t="s">
        <v>151</v>
      </c>
      <c r="Y31" s="64">
        <v>1.0</v>
      </c>
      <c r="Z31" s="62">
        <f t="shared" si="2"/>
        <v>4</v>
      </c>
    </row>
    <row r="32" ht="14.25" customHeight="1">
      <c r="B32" s="57">
        <v>10.0</v>
      </c>
      <c r="C32" s="57">
        <v>10624.0</v>
      </c>
      <c r="D32" s="15" t="s">
        <v>157</v>
      </c>
      <c r="E32" s="15">
        <v>2.0</v>
      </c>
      <c r="F32" s="5"/>
      <c r="G32" s="5"/>
      <c r="H32" s="5"/>
      <c r="I32" s="26">
        <v>1600.0</v>
      </c>
      <c r="J32" s="5"/>
      <c r="K32" s="5"/>
      <c r="L32" s="5"/>
      <c r="M32" s="5"/>
      <c r="N32" s="5"/>
      <c r="O32" s="5"/>
      <c r="P32" s="5"/>
      <c r="Q32" s="5"/>
      <c r="R32" s="60"/>
      <c r="S32" s="60"/>
      <c r="T32" s="60"/>
      <c r="U32" s="60"/>
      <c r="V32" s="60"/>
      <c r="W32" s="60"/>
      <c r="X32" s="62"/>
      <c r="Y32" s="62"/>
      <c r="Z32" s="62">
        <f t="shared" si="2"/>
        <v>2</v>
      </c>
    </row>
    <row r="33" ht="14.25" customHeight="1">
      <c r="B33" s="57">
        <v>11.0</v>
      </c>
      <c r="C33" s="57">
        <v>20607.0</v>
      </c>
      <c r="D33" s="15" t="s">
        <v>158</v>
      </c>
      <c r="E33" s="15">
        <v>2.0</v>
      </c>
      <c r="F33" s="15"/>
      <c r="G33" s="15"/>
      <c r="H33" s="15">
        <v>1700.0</v>
      </c>
      <c r="I33" s="26">
        <v>1600.0</v>
      </c>
      <c r="J33" s="68" t="s">
        <v>160</v>
      </c>
      <c r="K33" s="15">
        <v>1.0</v>
      </c>
      <c r="L33" s="5"/>
      <c r="M33" s="5"/>
      <c r="N33" s="5"/>
      <c r="O33" s="5"/>
      <c r="P33" s="5"/>
      <c r="Q33" s="5"/>
      <c r="R33" s="60"/>
      <c r="S33" s="60"/>
      <c r="T33" s="60"/>
      <c r="U33" s="60"/>
      <c r="V33" s="60"/>
      <c r="W33" s="60"/>
      <c r="X33" s="62"/>
      <c r="Y33" s="62"/>
      <c r="Z33" s="62">
        <f t="shared" si="2"/>
        <v>1</v>
      </c>
    </row>
    <row r="34" ht="14.25" customHeight="1">
      <c r="B34" s="57">
        <v>12.0</v>
      </c>
      <c r="C34" s="57">
        <v>10609.0</v>
      </c>
      <c r="D34" s="15" t="s">
        <v>164</v>
      </c>
      <c r="E34" s="15">
        <v>1.0</v>
      </c>
      <c r="F34" s="15"/>
      <c r="G34" s="15"/>
      <c r="H34" s="15">
        <v>1100.0</v>
      </c>
      <c r="I34" s="26">
        <v>1600.0</v>
      </c>
      <c r="J34" s="15" t="s">
        <v>144</v>
      </c>
      <c r="K34" s="15">
        <v>1.0</v>
      </c>
      <c r="L34" s="5"/>
      <c r="M34" s="5"/>
      <c r="N34" s="5"/>
      <c r="O34" s="5"/>
      <c r="P34" s="5"/>
      <c r="Q34" s="5"/>
      <c r="R34" s="60"/>
      <c r="S34" s="60"/>
      <c r="T34" s="60"/>
      <c r="U34" s="60"/>
      <c r="V34" s="60"/>
      <c r="W34" s="60"/>
      <c r="X34" s="62"/>
      <c r="Y34" s="62"/>
      <c r="Z34" s="62">
        <f t="shared" si="2"/>
        <v>0</v>
      </c>
    </row>
    <row r="35" ht="14.25" customHeight="1">
      <c r="B35" s="57">
        <v>13.0</v>
      </c>
      <c r="C35" s="57">
        <v>20620.0</v>
      </c>
      <c r="D35" s="15" t="s">
        <v>165</v>
      </c>
      <c r="E35" s="15">
        <v>1.0</v>
      </c>
      <c r="F35" s="15"/>
      <c r="G35" s="15"/>
      <c r="H35" s="15">
        <v>900.0</v>
      </c>
      <c r="I35" s="26">
        <v>1600.0</v>
      </c>
      <c r="J35" s="15" t="s">
        <v>129</v>
      </c>
      <c r="K35" s="15">
        <v>1.0</v>
      </c>
      <c r="L35" s="5"/>
      <c r="M35" s="5"/>
      <c r="N35" s="5"/>
      <c r="O35" s="5"/>
      <c r="P35" s="5"/>
      <c r="Q35" s="5"/>
      <c r="R35" s="60"/>
      <c r="S35" s="60"/>
      <c r="T35" s="60"/>
      <c r="U35" s="60"/>
      <c r="V35" s="60"/>
      <c r="W35" s="60"/>
      <c r="X35" s="62"/>
      <c r="Y35" s="62"/>
      <c r="Z35" s="62">
        <f t="shared" si="2"/>
        <v>0</v>
      </c>
    </row>
    <row r="36" ht="14.25" customHeight="1">
      <c r="B36" s="57">
        <v>14.0</v>
      </c>
      <c r="C36" s="57">
        <v>11501.0</v>
      </c>
      <c r="D36" s="15" t="s">
        <v>166</v>
      </c>
      <c r="E36" s="15">
        <v>8.0</v>
      </c>
      <c r="F36" s="15"/>
      <c r="G36" s="15"/>
      <c r="H36" s="15">
        <v>1050.0</v>
      </c>
      <c r="I36" s="26">
        <v>1600.0</v>
      </c>
      <c r="J36" s="15" t="s">
        <v>133</v>
      </c>
      <c r="K36" s="15">
        <v>2.0</v>
      </c>
      <c r="L36" s="15" t="s">
        <v>167</v>
      </c>
      <c r="M36" s="15">
        <v>2.0</v>
      </c>
      <c r="N36" s="15" t="s">
        <v>109</v>
      </c>
      <c r="O36" s="15">
        <v>1.0</v>
      </c>
      <c r="P36" s="5"/>
      <c r="Q36" s="5"/>
      <c r="R36" s="60"/>
      <c r="S36" s="60"/>
      <c r="T36" s="60"/>
      <c r="U36" s="60"/>
      <c r="V36" s="60"/>
      <c r="W36" s="60"/>
      <c r="X36" s="62"/>
      <c r="Y36" s="62"/>
      <c r="Z36" s="62">
        <f t="shared" si="2"/>
        <v>4</v>
      </c>
    </row>
    <row r="37" ht="14.25" customHeight="1">
      <c r="B37" s="57">
        <v>15.0</v>
      </c>
      <c r="C37" s="57">
        <v>10622.0</v>
      </c>
      <c r="D37" s="15" t="s">
        <v>168</v>
      </c>
      <c r="E37" s="15">
        <v>3.0</v>
      </c>
      <c r="F37" s="15"/>
      <c r="G37" s="15"/>
      <c r="H37" s="15">
        <v>850.0</v>
      </c>
      <c r="I37" s="26">
        <v>1600.0</v>
      </c>
      <c r="J37" s="15" t="s">
        <v>144</v>
      </c>
      <c r="K37" s="15">
        <v>1.0</v>
      </c>
      <c r="L37" s="15" t="s">
        <v>169</v>
      </c>
      <c r="M37" s="15">
        <v>1.0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8"/>
      <c r="Y37" s="58"/>
      <c r="Z37" s="58">
        <f t="shared" si="2"/>
        <v>1</v>
      </c>
    </row>
    <row r="38" ht="14.25" customHeight="1">
      <c r="B38" s="22"/>
      <c r="C38" s="57">
        <v>20517.0</v>
      </c>
      <c r="D38" s="5"/>
      <c r="E38" s="15">
        <v>1.0</v>
      </c>
      <c r="F38" s="15"/>
      <c r="G38" s="15"/>
      <c r="H38" s="15">
        <v>1350.0</v>
      </c>
      <c r="I38" s="15">
        <v>1350.0</v>
      </c>
      <c r="J38" s="15" t="s">
        <v>170</v>
      </c>
      <c r="K38" s="15">
        <v>1.0</v>
      </c>
      <c r="L38" s="15" t="s">
        <v>171</v>
      </c>
      <c r="M38" s="15">
        <v>1.0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B39" s="22"/>
      <c r="C39" s="57">
        <v>30518.0</v>
      </c>
      <c r="D39" s="5"/>
      <c r="E39" s="5"/>
      <c r="F39" s="5"/>
      <c r="G39" s="5"/>
      <c r="H39" s="5"/>
      <c r="I39" s="15">
        <v>1500.0</v>
      </c>
      <c r="J39" s="15" t="s">
        <v>172</v>
      </c>
      <c r="K39" s="15">
        <v>1.0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B40" s="22"/>
      <c r="C40" s="57">
        <v>11511.0</v>
      </c>
      <c r="D40" s="5"/>
      <c r="E40" s="15">
        <v>1.0</v>
      </c>
      <c r="F40" s="5"/>
      <c r="G40" s="5"/>
      <c r="H40" s="5"/>
      <c r="I40" s="15">
        <v>1450.0</v>
      </c>
      <c r="J40" s="15" t="s">
        <v>173</v>
      </c>
      <c r="K40" s="15">
        <v>1.0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B41" s="22"/>
      <c r="C41" s="57">
        <v>10604.0</v>
      </c>
      <c r="D41" s="5"/>
      <c r="E41" s="5"/>
      <c r="F41" s="5"/>
      <c r="G41" s="5"/>
      <c r="H41" s="5"/>
      <c r="I41" s="15">
        <v>1100.0</v>
      </c>
      <c r="J41" s="15" t="s">
        <v>172</v>
      </c>
      <c r="K41" s="15">
        <v>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B42" s="22"/>
      <c r="C42" s="57">
        <v>10630.0</v>
      </c>
      <c r="D42" s="5"/>
      <c r="E42" s="15"/>
      <c r="F42" s="5"/>
      <c r="G42" s="5"/>
      <c r="H42" s="5"/>
      <c r="I42" s="15">
        <v>1350.0</v>
      </c>
      <c r="J42" s="15" t="s">
        <v>174</v>
      </c>
      <c r="K42" s="15">
        <v>2.0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B43" s="22"/>
      <c r="C43" s="57">
        <v>20511.0</v>
      </c>
      <c r="D43" s="5"/>
      <c r="E43" s="5"/>
      <c r="F43" s="5"/>
      <c r="G43" s="5"/>
      <c r="H43" s="5"/>
      <c r="I43" s="15">
        <v>1350.0</v>
      </c>
      <c r="J43" s="15" t="s">
        <v>174</v>
      </c>
      <c r="K43" s="15">
        <v>1.0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0"/>
      <c r="B44" s="69"/>
      <c r="C44" s="69"/>
      <c r="D44" s="70"/>
      <c r="E44" s="70">
        <f>SUM(E23:E37)</f>
        <v>73</v>
      </c>
      <c r="F44" s="70"/>
      <c r="G44" s="70"/>
      <c r="H44" s="70"/>
      <c r="I44" s="36">
        <f>SUM(I23:I37)</f>
        <v>24000</v>
      </c>
      <c r="J44" s="70"/>
      <c r="K44" s="70">
        <f>SUM(K23:K37)</f>
        <v>15</v>
      </c>
      <c r="L44" s="70"/>
      <c r="M44" s="70">
        <f>SUM(M23:M37)</f>
        <v>12</v>
      </c>
      <c r="N44" s="70"/>
      <c r="O44" s="70">
        <f>SUM(O23:O37)</f>
        <v>6</v>
      </c>
      <c r="P44" s="70"/>
      <c r="Q44" s="70">
        <f>SUM(Q23:Q37)</f>
        <v>5</v>
      </c>
      <c r="R44" s="70"/>
      <c r="S44" s="70"/>
      <c r="T44" s="70"/>
      <c r="U44" s="70"/>
      <c r="V44" s="70"/>
      <c r="W44" s="70"/>
      <c r="X44" s="70"/>
      <c r="Y44" s="70"/>
      <c r="Z44" s="70">
        <f>SUM(Z23:Z37)</f>
        <v>46</v>
      </c>
      <c r="AA44" s="40">
        <f>K44+M44+O44+Q44</f>
        <v>38</v>
      </c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</row>
    <row r="45" ht="14.25" customHeight="1">
      <c r="B45" s="6"/>
      <c r="C45" s="6"/>
    </row>
    <row r="46" ht="14.25" customHeight="1">
      <c r="B46" s="72"/>
      <c r="C46" s="76" t="s">
        <v>2</v>
      </c>
      <c r="D46" s="76" t="s">
        <v>4</v>
      </c>
      <c r="E46" s="76" t="s">
        <v>182</v>
      </c>
      <c r="F46" s="76"/>
      <c r="G46" s="76"/>
      <c r="H46" s="76" t="s">
        <v>183</v>
      </c>
      <c r="I46" s="76" t="s">
        <v>7</v>
      </c>
      <c r="J46" s="79" t="s">
        <v>184</v>
      </c>
      <c r="K46" s="8"/>
      <c r="L46" s="81" t="s">
        <v>27</v>
      </c>
      <c r="M46" s="81" t="s">
        <v>28</v>
      </c>
    </row>
    <row r="47" ht="14.25" customHeight="1">
      <c r="B47" s="22"/>
      <c r="C47" s="25">
        <v>11307.0</v>
      </c>
      <c r="D47" s="83" t="s">
        <v>210</v>
      </c>
      <c r="E47" s="86"/>
      <c r="F47" s="25"/>
      <c r="G47" s="25"/>
      <c r="H47" s="25">
        <v>1.0</v>
      </c>
      <c r="I47" s="25">
        <v>1207.73</v>
      </c>
      <c r="J47" s="86"/>
      <c r="K47" s="86"/>
      <c r="L47" s="5"/>
      <c r="M47" s="5"/>
    </row>
    <row r="48" ht="14.25" customHeight="1">
      <c r="B48" s="22"/>
      <c r="C48" s="25">
        <v>10604.0</v>
      </c>
      <c r="D48" s="83" t="s">
        <v>212</v>
      </c>
      <c r="E48" s="86"/>
      <c r="F48" s="25"/>
      <c r="G48" s="25"/>
      <c r="H48" s="25">
        <v>1.0</v>
      </c>
      <c r="I48" s="25">
        <v>708.54</v>
      </c>
      <c r="J48" s="86"/>
      <c r="K48" s="86"/>
      <c r="L48" s="5"/>
      <c r="M48" s="5"/>
    </row>
    <row r="49" ht="14.25" customHeight="1">
      <c r="B49" s="22"/>
      <c r="C49" s="25">
        <v>40524.0</v>
      </c>
      <c r="D49" s="83" t="s">
        <v>214</v>
      </c>
      <c r="E49" s="86"/>
      <c r="F49" s="25"/>
      <c r="G49" s="25"/>
      <c r="H49" s="25">
        <v>2.0</v>
      </c>
      <c r="I49" s="25">
        <v>644.12</v>
      </c>
      <c r="J49" s="25">
        <v>1288.24</v>
      </c>
      <c r="K49" s="86"/>
      <c r="L49" s="15" t="s">
        <v>215</v>
      </c>
      <c r="M49" s="5"/>
    </row>
    <row r="50" ht="14.25" customHeight="1">
      <c r="B50" s="22"/>
      <c r="C50" s="25">
        <v>50505.0</v>
      </c>
      <c r="D50" s="83" t="s">
        <v>216</v>
      </c>
      <c r="E50" s="86"/>
      <c r="F50" s="25"/>
      <c r="G50" s="25"/>
      <c r="H50" s="25">
        <v>1.0</v>
      </c>
      <c r="I50" s="25">
        <v>740.74</v>
      </c>
      <c r="J50" s="25">
        <v>740.74</v>
      </c>
      <c r="K50" s="86"/>
      <c r="L50" s="5"/>
      <c r="M50" s="5"/>
    </row>
    <row r="51" ht="14.25" customHeight="1">
      <c r="B51" s="22"/>
      <c r="C51" s="25">
        <v>20620.0</v>
      </c>
      <c r="D51" s="83" t="s">
        <v>217</v>
      </c>
      <c r="E51" s="86"/>
      <c r="F51" s="25"/>
      <c r="G51" s="25"/>
      <c r="H51" s="25">
        <v>1.0</v>
      </c>
      <c r="I51" s="25">
        <v>708.54</v>
      </c>
      <c r="J51" s="25">
        <v>708.54</v>
      </c>
      <c r="K51" s="86"/>
      <c r="L51" s="5"/>
      <c r="M51" s="5"/>
    </row>
    <row r="52" ht="14.25" customHeight="1">
      <c r="B52" s="22"/>
      <c r="C52" s="25">
        <v>20518.0</v>
      </c>
      <c r="D52" s="83" t="s">
        <v>218</v>
      </c>
      <c r="E52" s="86"/>
      <c r="F52" s="25"/>
      <c r="G52" s="25"/>
      <c r="H52" s="25">
        <v>1.0</v>
      </c>
      <c r="I52" s="25">
        <v>644.12</v>
      </c>
      <c r="J52" s="25">
        <v>644.12</v>
      </c>
      <c r="K52" s="86"/>
      <c r="L52" s="5"/>
      <c r="M52" s="5"/>
    </row>
    <row r="53" ht="14.25" customHeight="1">
      <c r="B53" s="22"/>
      <c r="C53" s="25">
        <v>11501.0</v>
      </c>
      <c r="D53" s="83" t="s">
        <v>219</v>
      </c>
      <c r="E53" s="86"/>
      <c r="F53" s="25"/>
      <c r="G53" s="25"/>
      <c r="H53" s="25">
        <v>2.0</v>
      </c>
      <c r="I53" s="25">
        <v>933.98</v>
      </c>
      <c r="J53" s="25">
        <v>1867.95</v>
      </c>
      <c r="K53" s="86"/>
      <c r="L53" s="5"/>
      <c r="M53" s="5"/>
    </row>
    <row r="54" ht="14.25" customHeight="1">
      <c r="B54" s="22"/>
      <c r="C54" s="25">
        <v>20522.0</v>
      </c>
      <c r="D54" s="83" t="s">
        <v>220</v>
      </c>
      <c r="E54" s="86"/>
      <c r="F54" s="25"/>
      <c r="G54" s="25"/>
      <c r="H54" s="25">
        <v>1.0</v>
      </c>
      <c r="I54" s="25">
        <v>676.33</v>
      </c>
      <c r="J54" s="25">
        <v>676.33</v>
      </c>
      <c r="K54" s="86"/>
      <c r="L54" s="5"/>
      <c r="M54" s="5"/>
    </row>
    <row r="55" ht="14.25" customHeight="1">
      <c r="B55" s="22"/>
      <c r="C55" s="25">
        <v>10406.0</v>
      </c>
      <c r="D55" s="83" t="s">
        <v>223</v>
      </c>
      <c r="E55" s="86"/>
      <c r="F55" s="25"/>
      <c r="G55" s="25"/>
      <c r="H55" s="25">
        <v>5.0</v>
      </c>
      <c r="I55" s="25">
        <v>611.91</v>
      </c>
      <c r="J55" s="25">
        <v>1835.76</v>
      </c>
      <c r="K55" s="86"/>
      <c r="L55" s="15" t="s">
        <v>224</v>
      </c>
      <c r="M55" s="15">
        <v>2.0</v>
      </c>
    </row>
    <row r="56" ht="14.25" customHeight="1">
      <c r="B56" s="22"/>
      <c r="C56" s="25">
        <v>120481.0</v>
      </c>
      <c r="D56" s="83" t="s">
        <v>225</v>
      </c>
      <c r="E56" s="86"/>
      <c r="F56" s="25"/>
      <c r="G56" s="25"/>
      <c r="H56" s="25">
        <v>1.0</v>
      </c>
      <c r="I56" s="25">
        <v>611.91</v>
      </c>
      <c r="J56" s="25">
        <v>611.91</v>
      </c>
      <c r="K56" s="86"/>
      <c r="L56" s="5"/>
      <c r="M56" s="5"/>
    </row>
    <row r="57" ht="14.25" customHeight="1">
      <c r="B57" s="22"/>
      <c r="C57" s="25">
        <v>20408.0</v>
      </c>
      <c r="D57" s="83" t="s">
        <v>227</v>
      </c>
      <c r="E57" s="86"/>
      <c r="F57" s="25"/>
      <c r="G57" s="25"/>
      <c r="H57" s="25">
        <v>3.0</v>
      </c>
      <c r="I57" s="25">
        <v>611.91</v>
      </c>
      <c r="J57" s="25">
        <v>1835.76</v>
      </c>
      <c r="K57" s="86"/>
      <c r="L57" s="5"/>
      <c r="M57" s="5"/>
    </row>
    <row r="58" ht="14.25" customHeight="1">
      <c r="B58" s="22"/>
      <c r="C58" s="25">
        <v>11505.0</v>
      </c>
      <c r="D58" s="83" t="s">
        <v>228</v>
      </c>
      <c r="E58" s="86"/>
      <c r="F58" s="25"/>
      <c r="G58" s="25"/>
      <c r="H58" s="25">
        <v>8.0</v>
      </c>
      <c r="I58" s="25">
        <v>644.12</v>
      </c>
      <c r="J58" s="25">
        <v>5151.98</v>
      </c>
      <c r="K58" s="86"/>
      <c r="L58" s="15" t="s">
        <v>224</v>
      </c>
      <c r="M58" s="15">
        <v>2.0</v>
      </c>
    </row>
    <row r="59" ht="14.25" customHeight="1">
      <c r="B59" s="22"/>
      <c r="C59" s="25">
        <v>40617.0</v>
      </c>
      <c r="D59" s="83" t="s">
        <v>230</v>
      </c>
      <c r="E59" s="86"/>
      <c r="F59" s="25"/>
      <c r="G59" s="25"/>
      <c r="H59" s="25">
        <v>1.0</v>
      </c>
      <c r="I59" s="25">
        <v>1545.89</v>
      </c>
      <c r="J59" s="25">
        <v>1545.89</v>
      </c>
      <c r="K59" s="86"/>
      <c r="L59" s="15" t="s">
        <v>224</v>
      </c>
      <c r="M59" s="15">
        <v>1.0</v>
      </c>
    </row>
    <row r="60" ht="14.25" customHeight="1">
      <c r="B60" s="22"/>
      <c r="C60" s="25">
        <v>10624.0</v>
      </c>
      <c r="D60" s="83" t="s">
        <v>234</v>
      </c>
      <c r="E60" s="86"/>
      <c r="F60" s="25"/>
      <c r="G60" s="25"/>
      <c r="H60" s="25">
        <v>1.0</v>
      </c>
      <c r="I60" s="25">
        <v>1086.96</v>
      </c>
      <c r="J60" s="25">
        <v>1086.96</v>
      </c>
      <c r="K60" s="86"/>
      <c r="L60" s="5"/>
      <c r="M60" s="5"/>
    </row>
    <row r="61" ht="14.25" customHeight="1">
      <c r="B61" s="22"/>
      <c r="C61" s="25">
        <v>10621.0</v>
      </c>
      <c r="D61" s="83" t="s">
        <v>235</v>
      </c>
      <c r="E61" s="86"/>
      <c r="F61" s="25"/>
      <c r="G61" s="25"/>
      <c r="H61" s="25">
        <v>1.0</v>
      </c>
      <c r="I61" s="25">
        <v>885.65</v>
      </c>
      <c r="J61" s="25">
        <v>885.65</v>
      </c>
      <c r="K61" s="86"/>
      <c r="L61" s="5"/>
      <c r="M61" s="5"/>
    </row>
    <row r="62" ht="14.25" customHeight="1">
      <c r="B62" s="22"/>
      <c r="C62" s="25">
        <v>20610.0</v>
      </c>
      <c r="D62" s="83" t="s">
        <v>236</v>
      </c>
      <c r="E62" s="86"/>
      <c r="F62" s="25"/>
      <c r="G62" s="25"/>
      <c r="H62" s="25">
        <v>1.0</v>
      </c>
      <c r="I62" s="25">
        <v>1449.27</v>
      </c>
      <c r="J62" s="25">
        <v>1449.27</v>
      </c>
      <c r="K62" s="86"/>
      <c r="L62" s="5"/>
      <c r="M62" s="5"/>
    </row>
    <row r="63" ht="14.25" customHeight="1">
      <c r="B63" s="22"/>
      <c r="C63" s="25">
        <v>20618.0</v>
      </c>
      <c r="D63" s="83" t="s">
        <v>237</v>
      </c>
      <c r="E63" s="86"/>
      <c r="F63" s="25"/>
      <c r="G63" s="25"/>
      <c r="H63" s="25">
        <v>1.0</v>
      </c>
      <c r="I63" s="25">
        <v>1288.25</v>
      </c>
      <c r="J63" s="25">
        <v>1288.25</v>
      </c>
      <c r="K63" s="86"/>
      <c r="L63" s="15" t="s">
        <v>224</v>
      </c>
      <c r="M63" s="15">
        <v>1.0</v>
      </c>
    </row>
    <row r="64" ht="14.25" customHeight="1">
      <c r="B64" s="22"/>
      <c r="C64" s="25">
        <v>10609.0</v>
      </c>
      <c r="D64" s="83" t="s">
        <v>238</v>
      </c>
      <c r="E64" s="86"/>
      <c r="F64" s="25"/>
      <c r="G64" s="25"/>
      <c r="H64" s="25">
        <v>1.0</v>
      </c>
      <c r="I64" s="25">
        <v>869.57</v>
      </c>
      <c r="J64" s="25">
        <v>869.57</v>
      </c>
      <c r="K64" s="86"/>
      <c r="L64" s="5"/>
      <c r="M64" s="5"/>
    </row>
    <row r="65" ht="14.25" customHeight="1">
      <c r="B65" s="22"/>
      <c r="C65" s="25">
        <v>10628.0</v>
      </c>
      <c r="D65" s="83" t="s">
        <v>239</v>
      </c>
      <c r="E65" s="86"/>
      <c r="F65" s="25"/>
      <c r="G65" s="25"/>
      <c r="H65" s="25">
        <v>2.0</v>
      </c>
      <c r="I65" s="25">
        <v>708.54</v>
      </c>
      <c r="J65" s="25">
        <v>1417.07</v>
      </c>
      <c r="K65" s="86"/>
      <c r="L65" s="15" t="s">
        <v>240</v>
      </c>
      <c r="M65" s="15">
        <v>1.0</v>
      </c>
    </row>
    <row r="66" ht="14.25" customHeight="1">
      <c r="B66" s="6"/>
      <c r="C66" s="93">
        <v>10516.0</v>
      </c>
      <c r="F66" s="38"/>
      <c r="G66" s="38"/>
      <c r="H66" s="38">
        <v>1.0</v>
      </c>
      <c r="I66" s="38">
        <v>600.0</v>
      </c>
      <c r="J66" s="38" t="s">
        <v>243</v>
      </c>
    </row>
    <row r="67" ht="14.25" customHeight="1">
      <c r="B67" s="6"/>
      <c r="C67" s="6"/>
    </row>
    <row r="68" ht="14.25" customHeight="1">
      <c r="B68" s="95"/>
      <c r="C68" s="96" t="s">
        <v>2</v>
      </c>
      <c r="D68" s="97" t="s">
        <v>4</v>
      </c>
      <c r="E68" s="97" t="s">
        <v>6</v>
      </c>
      <c r="F68" s="97"/>
      <c r="G68" s="97"/>
      <c r="H68" s="97" t="s">
        <v>250</v>
      </c>
      <c r="I68" s="97" t="s">
        <v>9</v>
      </c>
      <c r="J68" s="97" t="s">
        <v>20</v>
      </c>
    </row>
    <row r="69" ht="14.25" customHeight="1">
      <c r="B69" s="22"/>
      <c r="C69" s="57">
        <v>11509.0</v>
      </c>
      <c r="D69" s="15" t="s">
        <v>251</v>
      </c>
      <c r="E69" s="15">
        <v>2.0</v>
      </c>
      <c r="F69" s="15"/>
      <c r="G69" s="15"/>
      <c r="H69" s="15">
        <v>332.0</v>
      </c>
      <c r="I69" s="15">
        <v>662.0</v>
      </c>
      <c r="J69" s="5"/>
      <c r="K69" s="5"/>
    </row>
    <row r="70" ht="14.25" customHeight="1">
      <c r="B70" s="22"/>
      <c r="C70" s="57">
        <v>11502.0</v>
      </c>
      <c r="D70" s="15" t="s">
        <v>252</v>
      </c>
      <c r="E70" s="15">
        <v>24.0</v>
      </c>
      <c r="F70" s="15"/>
      <c r="G70" s="15"/>
      <c r="H70" s="15">
        <v>297.0</v>
      </c>
      <c r="I70" s="5">
        <f t="shared" ref="I70:I87" si="3">E70*H70</f>
        <v>7128</v>
      </c>
      <c r="J70" s="15" t="s">
        <v>254</v>
      </c>
      <c r="K70" s="15">
        <v>2.0</v>
      </c>
      <c r="L70" s="38" t="s">
        <v>255</v>
      </c>
      <c r="M70" s="38">
        <v>1.0</v>
      </c>
    </row>
    <row r="71" ht="14.25" customHeight="1">
      <c r="B71" s="22"/>
      <c r="C71" s="57">
        <v>11514.0</v>
      </c>
      <c r="D71" s="15" t="s">
        <v>256</v>
      </c>
      <c r="E71" s="15">
        <v>2.0</v>
      </c>
      <c r="F71" s="15"/>
      <c r="G71" s="15"/>
      <c r="H71" s="15">
        <v>297.0</v>
      </c>
      <c r="I71" s="5">
        <f t="shared" si="3"/>
        <v>594</v>
      </c>
      <c r="J71" s="5"/>
      <c r="K71" s="5"/>
    </row>
    <row r="72" ht="14.25" customHeight="1">
      <c r="B72" s="22"/>
      <c r="C72" s="57">
        <v>10907.0</v>
      </c>
      <c r="D72" s="15" t="s">
        <v>257</v>
      </c>
      <c r="E72" s="15">
        <v>1.0</v>
      </c>
      <c r="F72" s="15"/>
      <c r="G72" s="15"/>
      <c r="H72" s="15">
        <v>1656.0</v>
      </c>
      <c r="I72" s="5">
        <f t="shared" si="3"/>
        <v>1656</v>
      </c>
      <c r="J72" s="5"/>
      <c r="K72" s="5"/>
    </row>
    <row r="73" ht="14.25" customHeight="1">
      <c r="B73" s="22"/>
      <c r="C73" s="57">
        <v>11501.0</v>
      </c>
      <c r="D73" s="15" t="s">
        <v>258</v>
      </c>
      <c r="E73" s="15">
        <v>5.0</v>
      </c>
      <c r="F73" s="15"/>
      <c r="G73" s="15"/>
      <c r="H73" s="15">
        <v>960.0</v>
      </c>
      <c r="I73" s="5">
        <f t="shared" si="3"/>
        <v>4800</v>
      </c>
      <c r="J73" s="15" t="s">
        <v>259</v>
      </c>
      <c r="K73" s="15">
        <v>2.0</v>
      </c>
      <c r="L73" s="38" t="s">
        <v>260</v>
      </c>
      <c r="M73" s="38">
        <v>2.0</v>
      </c>
    </row>
    <row r="74" ht="14.25" customHeight="1">
      <c r="B74" s="22"/>
      <c r="C74" s="57">
        <v>10910.0</v>
      </c>
      <c r="D74" s="15" t="s">
        <v>261</v>
      </c>
      <c r="E74" s="15">
        <v>2.0</v>
      </c>
      <c r="F74" s="15"/>
      <c r="G74" s="15"/>
      <c r="H74" s="15">
        <v>1788.0</v>
      </c>
      <c r="I74" s="5">
        <f t="shared" si="3"/>
        <v>3576</v>
      </c>
      <c r="J74" s="5"/>
      <c r="K74" s="5"/>
    </row>
    <row r="75" ht="14.25" customHeight="1">
      <c r="B75" s="22"/>
      <c r="C75" s="57">
        <v>10909.0</v>
      </c>
      <c r="D75" s="15" t="s">
        <v>262</v>
      </c>
      <c r="E75" s="15">
        <v>1.0</v>
      </c>
      <c r="F75" s="15"/>
      <c r="G75" s="15"/>
      <c r="H75" s="15">
        <v>1788.0</v>
      </c>
      <c r="I75" s="5">
        <f t="shared" si="3"/>
        <v>1788</v>
      </c>
      <c r="J75" s="5"/>
      <c r="K75" s="5"/>
    </row>
    <row r="76" ht="14.25" customHeight="1">
      <c r="B76" s="22"/>
      <c r="C76" s="57">
        <v>10608.0</v>
      </c>
      <c r="D76" s="15" t="s">
        <v>263</v>
      </c>
      <c r="E76" s="15">
        <v>2.0</v>
      </c>
      <c r="F76" s="15"/>
      <c r="G76" s="15"/>
      <c r="H76" s="15">
        <v>1325.0</v>
      </c>
      <c r="I76" s="5">
        <f t="shared" si="3"/>
        <v>2650</v>
      </c>
      <c r="J76" s="15" t="s">
        <v>264</v>
      </c>
      <c r="K76" s="15">
        <v>1.0</v>
      </c>
    </row>
    <row r="77" ht="14.25" customHeight="1">
      <c r="B77" s="22"/>
      <c r="C77" s="57">
        <v>20511.0</v>
      </c>
      <c r="D77" s="15" t="s">
        <v>265</v>
      </c>
      <c r="E77" s="15">
        <v>1.0</v>
      </c>
      <c r="F77" s="15"/>
      <c r="G77" s="15"/>
      <c r="H77" s="15">
        <v>894.0</v>
      </c>
      <c r="I77" s="5">
        <f t="shared" si="3"/>
        <v>894</v>
      </c>
      <c r="J77" s="15" t="s">
        <v>259</v>
      </c>
      <c r="K77" s="15">
        <v>1.0</v>
      </c>
    </row>
    <row r="78" ht="14.25" customHeight="1">
      <c r="B78" s="22"/>
      <c r="C78" s="57">
        <v>10630.0</v>
      </c>
      <c r="D78" s="15" t="s">
        <v>266</v>
      </c>
      <c r="E78" s="15">
        <v>1.0</v>
      </c>
      <c r="F78" s="15"/>
      <c r="G78" s="15"/>
      <c r="H78" s="15">
        <v>894.0</v>
      </c>
      <c r="I78" s="5">
        <f t="shared" si="3"/>
        <v>894</v>
      </c>
      <c r="J78" s="5"/>
      <c r="K78" s="5"/>
    </row>
    <row r="79" ht="14.25" customHeight="1">
      <c r="B79" s="22"/>
      <c r="C79" s="57">
        <v>20620.0</v>
      </c>
      <c r="D79" s="15" t="s">
        <v>267</v>
      </c>
      <c r="E79" s="15">
        <v>1.0</v>
      </c>
      <c r="F79" s="15"/>
      <c r="G79" s="15"/>
      <c r="H79" s="15">
        <v>728.0</v>
      </c>
      <c r="I79" s="5">
        <f t="shared" si="3"/>
        <v>728</v>
      </c>
      <c r="J79" s="5"/>
      <c r="K79" s="5"/>
    </row>
    <row r="80" ht="14.25" customHeight="1">
      <c r="B80" s="22"/>
      <c r="C80" s="57">
        <v>20518.0</v>
      </c>
      <c r="D80" s="15" t="s">
        <v>268</v>
      </c>
      <c r="E80" s="15">
        <v>1.0</v>
      </c>
      <c r="F80" s="15"/>
      <c r="G80" s="15"/>
      <c r="H80" s="15">
        <v>663.0</v>
      </c>
      <c r="I80" s="5">
        <f t="shared" si="3"/>
        <v>663</v>
      </c>
      <c r="J80" s="15" t="s">
        <v>269</v>
      </c>
      <c r="K80" s="15">
        <v>1.0</v>
      </c>
    </row>
    <row r="81" ht="14.25" customHeight="1">
      <c r="B81" s="22"/>
      <c r="C81" s="57">
        <v>10605.0</v>
      </c>
      <c r="D81" s="15" t="s">
        <v>270</v>
      </c>
      <c r="E81" s="15">
        <v>1.0</v>
      </c>
      <c r="F81" s="15"/>
      <c r="G81" s="15"/>
      <c r="H81" s="15">
        <v>729.0</v>
      </c>
      <c r="I81" s="5">
        <f t="shared" si="3"/>
        <v>729</v>
      </c>
      <c r="J81" s="5"/>
      <c r="K81" s="5"/>
    </row>
    <row r="82" ht="14.25" customHeight="1">
      <c r="B82" s="22"/>
      <c r="C82" s="57">
        <v>10621.0</v>
      </c>
      <c r="D82" s="15" t="s">
        <v>271</v>
      </c>
      <c r="E82" s="15">
        <v>1.0</v>
      </c>
      <c r="F82" s="15"/>
      <c r="G82" s="15"/>
      <c r="H82" s="15">
        <v>729.0</v>
      </c>
      <c r="I82" s="5">
        <f t="shared" si="3"/>
        <v>729</v>
      </c>
      <c r="J82" s="5"/>
      <c r="K82" s="5"/>
    </row>
    <row r="83" ht="14.25" customHeight="1">
      <c r="B83" s="22"/>
      <c r="C83" s="57">
        <v>10516.0</v>
      </c>
      <c r="D83" s="15" t="s">
        <v>272</v>
      </c>
      <c r="E83" s="15">
        <v>1.0</v>
      </c>
      <c r="F83" s="15"/>
      <c r="G83" s="15"/>
      <c r="H83" s="15">
        <v>729.0</v>
      </c>
      <c r="I83" s="5">
        <f t="shared" si="3"/>
        <v>729</v>
      </c>
      <c r="J83" s="5"/>
      <c r="K83" s="5"/>
    </row>
    <row r="84" ht="14.25" customHeight="1">
      <c r="B84" s="22"/>
      <c r="C84" s="57">
        <v>30613.0</v>
      </c>
      <c r="D84" s="15" t="s">
        <v>273</v>
      </c>
      <c r="E84" s="15">
        <v>1.0</v>
      </c>
      <c r="F84" s="15"/>
      <c r="G84" s="15"/>
      <c r="H84" s="15">
        <v>1192.0</v>
      </c>
      <c r="I84" s="5">
        <f t="shared" si="3"/>
        <v>1192</v>
      </c>
      <c r="J84" s="5"/>
      <c r="K84" s="5"/>
    </row>
    <row r="85" ht="14.25" customHeight="1">
      <c r="B85" s="22"/>
      <c r="C85" s="57">
        <v>10609.0</v>
      </c>
      <c r="D85" s="15" t="s">
        <v>274</v>
      </c>
      <c r="E85" s="15">
        <v>1.0</v>
      </c>
      <c r="F85" s="15"/>
      <c r="G85" s="15"/>
      <c r="H85" s="15">
        <v>894.0</v>
      </c>
      <c r="I85" s="5">
        <f t="shared" si="3"/>
        <v>894</v>
      </c>
      <c r="J85" s="15" t="s">
        <v>269</v>
      </c>
      <c r="K85" s="15">
        <v>1.0</v>
      </c>
    </row>
    <row r="86" ht="14.25" customHeight="1">
      <c r="B86" s="22"/>
      <c r="C86" s="57">
        <v>30518.0</v>
      </c>
      <c r="D86" s="15" t="s">
        <v>275</v>
      </c>
      <c r="E86" s="15">
        <v>1.0</v>
      </c>
      <c r="F86" s="15"/>
      <c r="G86" s="15"/>
      <c r="H86" s="15">
        <v>994.0</v>
      </c>
      <c r="I86" s="5">
        <f t="shared" si="3"/>
        <v>994</v>
      </c>
      <c r="J86" s="15" t="s">
        <v>203</v>
      </c>
      <c r="K86" s="15">
        <v>1.0</v>
      </c>
    </row>
    <row r="87" ht="14.25" customHeight="1">
      <c r="B87" s="22"/>
      <c r="C87" s="57">
        <v>10607.0</v>
      </c>
      <c r="D87" s="15" t="s">
        <v>276</v>
      </c>
      <c r="E87" s="15">
        <v>1.0</v>
      </c>
      <c r="F87" s="15"/>
      <c r="G87" s="15"/>
      <c r="H87" s="15">
        <v>612.0</v>
      </c>
      <c r="I87" s="5">
        <f t="shared" si="3"/>
        <v>612</v>
      </c>
      <c r="J87" s="5"/>
      <c r="K87" s="5"/>
    </row>
    <row r="88" ht="14.25" customHeight="1">
      <c r="B88" s="6"/>
      <c r="C88" s="6"/>
    </row>
    <row r="89" ht="14.25" customHeight="1">
      <c r="B89" s="6"/>
      <c r="C89" s="6"/>
    </row>
    <row r="90" ht="14.25" customHeight="1">
      <c r="B90" s="6"/>
      <c r="C90" s="6"/>
    </row>
    <row r="91" ht="14.25" customHeight="1">
      <c r="B91" s="6"/>
      <c r="C91" s="6"/>
    </row>
    <row r="92" ht="14.25" customHeight="1">
      <c r="B92" s="22"/>
      <c r="C92" s="57" t="s">
        <v>2</v>
      </c>
      <c r="D92" s="15" t="s">
        <v>277</v>
      </c>
      <c r="E92" s="15" t="s">
        <v>6</v>
      </c>
      <c r="F92" s="15"/>
      <c r="G92" s="15"/>
      <c r="H92" s="15" t="s">
        <v>278</v>
      </c>
      <c r="I92" s="15" t="s">
        <v>9</v>
      </c>
      <c r="J92" s="15" t="s">
        <v>10</v>
      </c>
      <c r="K92" s="5"/>
    </row>
    <row r="93" ht="14.25" customHeight="1">
      <c r="B93" s="22"/>
      <c r="C93" s="57">
        <v>20523.0</v>
      </c>
      <c r="D93" s="15" t="s">
        <v>279</v>
      </c>
      <c r="E93" s="15">
        <v>1.0</v>
      </c>
      <c r="F93" s="15"/>
      <c r="G93" s="15"/>
      <c r="H93" s="15">
        <v>743.48</v>
      </c>
      <c r="I93" s="15">
        <v>743.48</v>
      </c>
      <c r="J93" s="5"/>
      <c r="K93" s="5"/>
    </row>
    <row r="94" ht="14.25" customHeight="1">
      <c r="B94" s="22"/>
      <c r="C94" s="57">
        <v>11513.0</v>
      </c>
      <c r="D94" s="15" t="s">
        <v>280</v>
      </c>
      <c r="E94" s="15">
        <v>1.0</v>
      </c>
      <c r="F94" s="15"/>
      <c r="G94" s="15"/>
      <c r="H94" s="15">
        <v>1408.7</v>
      </c>
      <c r="I94" s="15">
        <v>1408.7</v>
      </c>
      <c r="J94" s="5"/>
      <c r="K94" s="5"/>
    </row>
    <row r="95" ht="14.25" customHeight="1">
      <c r="B95" s="22"/>
      <c r="C95" s="57">
        <v>10301.0</v>
      </c>
      <c r="D95" s="15" t="s">
        <v>281</v>
      </c>
      <c r="E95" s="15">
        <v>2.0</v>
      </c>
      <c r="F95" s="15"/>
      <c r="G95" s="15"/>
      <c r="H95" s="15">
        <v>172.17</v>
      </c>
      <c r="I95" s="15">
        <v>344.34</v>
      </c>
      <c r="J95" s="5"/>
      <c r="K95" s="5"/>
    </row>
    <row r="96" ht="14.25" customHeight="1">
      <c r="B96" s="22"/>
      <c r="C96" s="57">
        <v>11514.0</v>
      </c>
      <c r="D96" s="15" t="s">
        <v>283</v>
      </c>
      <c r="E96" s="15">
        <v>3.0</v>
      </c>
      <c r="F96" s="15"/>
      <c r="G96" s="15"/>
      <c r="H96" s="15">
        <v>352.17</v>
      </c>
      <c r="I96" s="15">
        <v>1056.51</v>
      </c>
      <c r="J96" s="5"/>
      <c r="K96" s="5"/>
    </row>
    <row r="97" ht="14.25" customHeight="1">
      <c r="B97" s="22"/>
      <c r="C97" s="57">
        <v>11502.0</v>
      </c>
      <c r="D97" s="15" t="s">
        <v>284</v>
      </c>
      <c r="E97" s="15">
        <v>1.0</v>
      </c>
      <c r="F97" s="15"/>
      <c r="G97" s="15"/>
      <c r="H97" s="15">
        <v>352.17</v>
      </c>
      <c r="I97" s="15">
        <v>352.17</v>
      </c>
      <c r="J97" s="5"/>
      <c r="K97" s="5"/>
    </row>
    <row r="98" ht="14.25" customHeight="1">
      <c r="B98" s="22"/>
      <c r="C98" s="57">
        <v>11102.0</v>
      </c>
      <c r="D98" s="15" t="s">
        <v>285</v>
      </c>
      <c r="E98" s="15">
        <v>6.0</v>
      </c>
      <c r="F98" s="15"/>
      <c r="G98" s="15"/>
      <c r="H98" s="15">
        <v>391.3</v>
      </c>
      <c r="I98" s="15">
        <v>2347.8</v>
      </c>
      <c r="J98" s="5"/>
      <c r="K98" s="5"/>
    </row>
    <row r="99" ht="14.25" customHeight="1">
      <c r="B99" s="22"/>
      <c r="C99" s="57">
        <v>10607.0</v>
      </c>
      <c r="D99" s="15" t="s">
        <v>286</v>
      </c>
      <c r="E99" s="15">
        <v>2.0</v>
      </c>
      <c r="F99" s="15"/>
      <c r="G99" s="15"/>
      <c r="H99" s="15">
        <v>860.87</v>
      </c>
      <c r="I99" s="15">
        <v>1721.74</v>
      </c>
      <c r="J99" s="5"/>
      <c r="K99" s="5"/>
    </row>
    <row r="100" ht="14.25" customHeight="1">
      <c r="B100" s="22"/>
      <c r="C100" s="57">
        <v>20620.0</v>
      </c>
      <c r="D100" s="15" t="s">
        <v>287</v>
      </c>
      <c r="E100" s="15">
        <v>1.0</v>
      </c>
      <c r="F100" s="15"/>
      <c r="G100" s="15"/>
      <c r="H100" s="15">
        <v>860.87</v>
      </c>
      <c r="I100" s="15">
        <v>860.87</v>
      </c>
      <c r="J100" s="5"/>
      <c r="K100" s="5"/>
    </row>
    <row r="101" ht="14.25" customHeight="1">
      <c r="B101" s="22"/>
      <c r="C101" s="57">
        <v>10622.0</v>
      </c>
      <c r="D101" s="15" t="s">
        <v>288</v>
      </c>
      <c r="E101" s="15">
        <v>1.0</v>
      </c>
      <c r="F101" s="15"/>
      <c r="G101" s="15"/>
      <c r="H101" s="15">
        <v>743.48</v>
      </c>
      <c r="I101" s="15">
        <v>743.48</v>
      </c>
      <c r="J101" s="5"/>
      <c r="K101" s="5"/>
    </row>
    <row r="102" ht="14.25" customHeight="1">
      <c r="B102" s="22"/>
      <c r="C102" s="57">
        <v>10518.0</v>
      </c>
      <c r="D102" s="15" t="s">
        <v>289</v>
      </c>
      <c r="E102" s="15">
        <v>1.0</v>
      </c>
      <c r="F102" s="15"/>
      <c r="G102" s="15"/>
      <c r="H102" s="15">
        <v>665.22</v>
      </c>
      <c r="I102" s="15">
        <v>665.22</v>
      </c>
      <c r="J102" s="5"/>
      <c r="K102" s="5"/>
    </row>
    <row r="103" ht="14.25" customHeight="1">
      <c r="B103" s="22"/>
      <c r="C103" s="57">
        <v>10609.0</v>
      </c>
      <c r="D103" s="15" t="s">
        <v>290</v>
      </c>
      <c r="E103" s="15">
        <v>1.0</v>
      </c>
      <c r="F103" s="15"/>
      <c r="G103" s="15"/>
      <c r="H103" s="15">
        <v>1056.52</v>
      </c>
      <c r="I103" s="15">
        <v>1056.52</v>
      </c>
      <c r="J103" s="5"/>
      <c r="K103" s="5"/>
    </row>
    <row r="104" ht="14.25" customHeight="1">
      <c r="B104" s="22"/>
      <c r="C104" s="57">
        <v>10621.0</v>
      </c>
      <c r="D104" s="15" t="s">
        <v>271</v>
      </c>
      <c r="E104" s="15">
        <v>5.0</v>
      </c>
      <c r="F104" s="15"/>
      <c r="G104" s="15"/>
      <c r="H104" s="15">
        <v>860.86</v>
      </c>
      <c r="I104" s="15">
        <v>4304.3</v>
      </c>
      <c r="J104" s="5"/>
      <c r="K104" s="5"/>
    </row>
    <row r="105" ht="14.25" customHeight="1">
      <c r="B105" s="22"/>
      <c r="C105" s="57">
        <v>50505.0</v>
      </c>
      <c r="D105" s="15" t="s">
        <v>291</v>
      </c>
      <c r="E105" s="15">
        <v>1.0</v>
      </c>
      <c r="F105" s="15"/>
      <c r="G105" s="15"/>
      <c r="H105" s="15">
        <v>900.0</v>
      </c>
      <c r="I105" s="15">
        <v>900.0</v>
      </c>
      <c r="J105" s="5"/>
      <c r="K105" s="5"/>
    </row>
    <row r="106" ht="14.25" customHeight="1">
      <c r="B106" s="22"/>
      <c r="C106" s="57">
        <v>40524.0</v>
      </c>
      <c r="D106" s="15" t="s">
        <v>292</v>
      </c>
      <c r="E106" s="15">
        <v>2.0</v>
      </c>
      <c r="F106" s="15"/>
      <c r="G106" s="15"/>
      <c r="H106" s="15">
        <v>782.61</v>
      </c>
      <c r="I106" s="15">
        <v>1565.22</v>
      </c>
      <c r="J106" s="5"/>
      <c r="K106" s="5"/>
    </row>
    <row r="107" ht="14.25" customHeight="1">
      <c r="B107" s="22"/>
      <c r="C107" s="57">
        <v>10514.0</v>
      </c>
      <c r="D107" s="15" t="s">
        <v>293</v>
      </c>
      <c r="E107" s="15">
        <v>1.0</v>
      </c>
      <c r="F107" s="15"/>
      <c r="G107" s="15"/>
      <c r="H107" s="15">
        <v>469.57</v>
      </c>
      <c r="I107" s="15">
        <v>469.57</v>
      </c>
      <c r="J107" s="5"/>
      <c r="K107" s="5"/>
    </row>
    <row r="108" ht="14.25" customHeight="1">
      <c r="B108" s="22"/>
      <c r="C108" s="57">
        <v>10612.0</v>
      </c>
      <c r="D108" s="15" t="s">
        <v>294</v>
      </c>
      <c r="E108" s="15">
        <v>3.0</v>
      </c>
      <c r="F108" s="15"/>
      <c r="G108" s="15"/>
      <c r="H108" s="15">
        <v>743.48</v>
      </c>
      <c r="I108" s="15">
        <v>2230.44</v>
      </c>
      <c r="J108" s="5"/>
      <c r="K108" s="5"/>
    </row>
    <row r="109" ht="14.25" customHeight="1">
      <c r="B109" s="22"/>
      <c r="C109" s="57">
        <v>50601.0</v>
      </c>
      <c r="D109" s="15" t="s">
        <v>295</v>
      </c>
      <c r="E109" s="15">
        <v>1.0</v>
      </c>
      <c r="F109" s="15"/>
      <c r="G109" s="15"/>
      <c r="H109" s="15">
        <v>1252.17</v>
      </c>
      <c r="I109" s="15">
        <v>1252.17</v>
      </c>
      <c r="J109" s="5"/>
      <c r="K109" s="5"/>
    </row>
    <row r="110" ht="14.25" customHeight="1">
      <c r="B110" s="22"/>
      <c r="C110" s="57">
        <v>10639.0</v>
      </c>
      <c r="D110" s="15" t="s">
        <v>296</v>
      </c>
      <c r="E110" s="15">
        <v>1.0</v>
      </c>
      <c r="F110" s="15"/>
      <c r="G110" s="15"/>
      <c r="H110" s="15">
        <v>743.48</v>
      </c>
      <c r="I110" s="15">
        <v>743.48</v>
      </c>
      <c r="J110" s="5"/>
      <c r="K110" s="5"/>
    </row>
    <row r="111" ht="14.25" customHeight="1">
      <c r="B111" s="22"/>
      <c r="C111" s="57">
        <v>40615.0</v>
      </c>
      <c r="D111" s="15" t="s">
        <v>297</v>
      </c>
      <c r="E111" s="15">
        <v>1.0</v>
      </c>
      <c r="F111" s="15"/>
      <c r="G111" s="15"/>
      <c r="H111" s="15">
        <v>1721.74</v>
      </c>
      <c r="I111" s="15">
        <v>1721.74</v>
      </c>
      <c r="J111" s="5"/>
      <c r="K111" s="5"/>
    </row>
    <row r="112" ht="14.25" customHeight="1">
      <c r="B112" s="22"/>
      <c r="C112" s="57">
        <v>10643.0</v>
      </c>
      <c r="D112" s="15" t="s">
        <v>298</v>
      </c>
      <c r="E112" s="15">
        <v>1.0</v>
      </c>
      <c r="F112" s="15"/>
      <c r="G112" s="15"/>
      <c r="H112" s="15">
        <v>900.0</v>
      </c>
      <c r="I112" s="15">
        <v>900.0</v>
      </c>
      <c r="J112" s="5"/>
      <c r="K112" s="5"/>
    </row>
    <row r="113" ht="14.25" customHeight="1">
      <c r="B113" s="22"/>
      <c r="C113" s="22"/>
      <c r="D113" s="5"/>
      <c r="E113" s="5"/>
      <c r="F113" s="5"/>
      <c r="G113" s="5"/>
      <c r="H113" s="5"/>
      <c r="I113" s="5"/>
      <c r="J113" s="5"/>
      <c r="K113" s="5"/>
    </row>
    <row r="114" ht="14.25" customHeight="1">
      <c r="B114" s="6"/>
      <c r="C114" s="6"/>
    </row>
    <row r="115" ht="14.25" customHeight="1">
      <c r="B115" s="6"/>
      <c r="C115" s="6"/>
    </row>
    <row r="116" ht="14.25" customHeight="1">
      <c r="B116" s="22"/>
      <c r="C116" s="57" t="s">
        <v>2</v>
      </c>
      <c r="D116" s="15" t="s">
        <v>299</v>
      </c>
      <c r="E116" s="15" t="s">
        <v>6</v>
      </c>
      <c r="F116" s="15"/>
      <c r="G116" s="15"/>
      <c r="H116" s="15" t="s">
        <v>278</v>
      </c>
      <c r="I116" s="15" t="s">
        <v>300</v>
      </c>
      <c r="J116" s="15" t="s">
        <v>10</v>
      </c>
      <c r="K116" s="5"/>
    </row>
    <row r="117" ht="14.25" customHeight="1">
      <c r="B117" s="22"/>
      <c r="C117" s="57">
        <v>10612.0</v>
      </c>
      <c r="D117" s="15" t="s">
        <v>301</v>
      </c>
      <c r="E117" s="15">
        <v>1.0</v>
      </c>
      <c r="F117" s="15"/>
      <c r="G117" s="15"/>
      <c r="H117" s="15">
        <v>950.0</v>
      </c>
      <c r="I117" s="5"/>
      <c r="J117" s="15" t="s">
        <v>302</v>
      </c>
      <c r="K117" s="5"/>
    </row>
    <row r="118" ht="14.25" customHeight="1">
      <c r="B118" s="22"/>
      <c r="C118" s="57">
        <v>30613.0</v>
      </c>
      <c r="D118" s="15" t="s">
        <v>237</v>
      </c>
      <c r="E118" s="15">
        <v>1.0</v>
      </c>
      <c r="F118" s="15"/>
      <c r="G118" s="15"/>
      <c r="H118" s="15">
        <v>1800.0</v>
      </c>
      <c r="I118" s="5"/>
      <c r="J118" s="5"/>
      <c r="K118" s="5"/>
    </row>
    <row r="119" ht="14.25" customHeight="1">
      <c r="B119" s="22"/>
      <c r="C119" s="57">
        <v>50601.0</v>
      </c>
      <c r="D119" s="15" t="s">
        <v>303</v>
      </c>
      <c r="E119" s="15">
        <v>1.0</v>
      </c>
      <c r="F119" s="15"/>
      <c r="G119" s="15"/>
      <c r="H119" s="15">
        <v>1600.0</v>
      </c>
      <c r="I119" s="15" t="s">
        <v>304</v>
      </c>
      <c r="J119" s="15" t="s">
        <v>305</v>
      </c>
      <c r="K119" s="5"/>
    </row>
    <row r="120" ht="14.25" customHeight="1">
      <c r="B120" s="22"/>
      <c r="C120" s="57">
        <v>11501.0</v>
      </c>
      <c r="D120" s="15" t="s">
        <v>303</v>
      </c>
      <c r="E120" s="15">
        <v>1.0</v>
      </c>
      <c r="F120" s="15"/>
      <c r="G120" s="15"/>
      <c r="H120" s="15">
        <v>1450.0</v>
      </c>
      <c r="I120" s="15" t="s">
        <v>304</v>
      </c>
      <c r="J120" s="15" t="s">
        <v>305</v>
      </c>
      <c r="K120" s="15" t="s">
        <v>306</v>
      </c>
    </row>
    <row r="121" ht="14.25" customHeight="1">
      <c r="B121" s="22"/>
      <c r="C121" s="57">
        <v>10621.0</v>
      </c>
      <c r="D121" s="15" t="s">
        <v>271</v>
      </c>
      <c r="E121" s="15">
        <v>1.0</v>
      </c>
      <c r="F121" s="15"/>
      <c r="G121" s="15"/>
      <c r="H121" s="15">
        <v>110.0</v>
      </c>
      <c r="I121" s="15" t="s">
        <v>304</v>
      </c>
      <c r="J121" s="15" t="s">
        <v>305</v>
      </c>
      <c r="K121" s="5"/>
    </row>
    <row r="122" ht="14.25" customHeight="1">
      <c r="B122" s="22"/>
      <c r="C122" s="57">
        <v>10909.0</v>
      </c>
      <c r="D122" s="5"/>
      <c r="E122" s="15">
        <v>1.0</v>
      </c>
      <c r="F122" s="15"/>
      <c r="G122" s="15"/>
      <c r="H122" s="15">
        <v>2700.0</v>
      </c>
      <c r="I122" s="15" t="s">
        <v>304</v>
      </c>
      <c r="J122" s="15" t="s">
        <v>305</v>
      </c>
      <c r="K122" s="5"/>
    </row>
    <row r="123" ht="14.25" customHeight="1">
      <c r="B123" s="22"/>
      <c r="C123" s="57">
        <v>10612.0</v>
      </c>
      <c r="D123" s="15" t="s">
        <v>307</v>
      </c>
      <c r="E123" s="15">
        <v>1.0</v>
      </c>
      <c r="F123" s="15"/>
      <c r="G123" s="15"/>
      <c r="H123" s="15">
        <v>950.0</v>
      </c>
      <c r="I123" s="15" t="s">
        <v>308</v>
      </c>
      <c r="J123" s="15" t="s">
        <v>309</v>
      </c>
      <c r="K123" s="5"/>
    </row>
    <row r="124" ht="14.25" customHeight="1">
      <c r="B124" s="22"/>
      <c r="C124" s="57">
        <v>10518.0</v>
      </c>
      <c r="D124" s="15" t="s">
        <v>310</v>
      </c>
      <c r="E124" s="15">
        <v>1.0</v>
      </c>
      <c r="F124" s="15"/>
      <c r="G124" s="15"/>
      <c r="H124" s="15">
        <v>850.0</v>
      </c>
      <c r="I124" s="15" t="s">
        <v>308</v>
      </c>
      <c r="J124" s="15" t="s">
        <v>309</v>
      </c>
      <c r="K124" s="5"/>
    </row>
    <row r="125" ht="14.25" customHeight="1">
      <c r="B125" s="22"/>
      <c r="C125" s="57">
        <v>10514.0</v>
      </c>
      <c r="D125" s="15" t="s">
        <v>311</v>
      </c>
      <c r="E125" s="15">
        <v>1.0</v>
      </c>
      <c r="F125" s="15"/>
      <c r="G125" s="15"/>
      <c r="H125" s="15">
        <v>600.0</v>
      </c>
      <c r="I125" s="15" t="s">
        <v>308</v>
      </c>
      <c r="J125" s="15" t="s">
        <v>309</v>
      </c>
      <c r="K125" s="5"/>
    </row>
    <row r="126" ht="14.25" customHeight="1">
      <c r="B126" s="22"/>
      <c r="C126" s="57">
        <v>11501.0</v>
      </c>
      <c r="D126" s="5"/>
      <c r="E126" s="15">
        <v>1.0</v>
      </c>
      <c r="F126" s="15"/>
      <c r="G126" s="15"/>
      <c r="H126" s="15">
        <v>1450.0</v>
      </c>
      <c r="I126" s="15" t="s">
        <v>308</v>
      </c>
      <c r="J126" s="15" t="s">
        <v>260</v>
      </c>
      <c r="K126" s="5"/>
    </row>
    <row r="127" ht="14.25" customHeight="1">
      <c r="B127" s="22"/>
      <c r="C127" s="57">
        <v>11501.0</v>
      </c>
      <c r="D127" s="5"/>
      <c r="E127" s="15">
        <v>1.0</v>
      </c>
      <c r="F127" s="15"/>
      <c r="G127" s="15"/>
      <c r="H127" s="15">
        <v>1450.0</v>
      </c>
      <c r="I127" s="15" t="s">
        <v>308</v>
      </c>
      <c r="J127" s="15" t="s">
        <v>260</v>
      </c>
      <c r="K127" s="5"/>
    </row>
    <row r="128" ht="14.25" customHeight="1">
      <c r="B128" s="22"/>
      <c r="C128" s="57">
        <v>40617.0</v>
      </c>
      <c r="D128" s="5"/>
      <c r="E128" s="15">
        <v>1.0</v>
      </c>
      <c r="F128" s="15"/>
      <c r="G128" s="15"/>
      <c r="H128" s="15">
        <v>2400.0</v>
      </c>
      <c r="I128" s="15" t="s">
        <v>308</v>
      </c>
      <c r="J128" s="15" t="s">
        <v>260</v>
      </c>
      <c r="K128" s="5"/>
    </row>
    <row r="129" ht="14.25" customHeight="1">
      <c r="B129" s="22"/>
      <c r="C129" s="57">
        <v>26617.0</v>
      </c>
      <c r="D129" s="5"/>
      <c r="E129" s="15">
        <v>1.0</v>
      </c>
      <c r="F129" s="15"/>
      <c r="G129" s="15"/>
      <c r="H129" s="15">
        <v>2000.0</v>
      </c>
      <c r="I129" s="15" t="s">
        <v>308</v>
      </c>
      <c r="J129" s="15" t="s">
        <v>260</v>
      </c>
      <c r="K129" s="5"/>
    </row>
    <row r="130" ht="14.25" customHeight="1">
      <c r="B130" s="22"/>
      <c r="C130" s="57">
        <v>30518.0</v>
      </c>
      <c r="D130" s="5"/>
      <c r="E130" s="15">
        <v>1.0</v>
      </c>
      <c r="F130" s="15"/>
      <c r="G130" s="15"/>
      <c r="H130" s="15">
        <v>1500.0</v>
      </c>
      <c r="I130" s="15" t="s">
        <v>308</v>
      </c>
      <c r="J130" s="15" t="s">
        <v>260</v>
      </c>
      <c r="K130" s="5"/>
    </row>
    <row r="131" ht="14.25" customHeight="1">
      <c r="B131" s="22"/>
      <c r="C131" s="57">
        <v>30518.0</v>
      </c>
      <c r="D131" s="5"/>
      <c r="E131" s="15">
        <v>1.0</v>
      </c>
      <c r="F131" s="15"/>
      <c r="G131" s="15"/>
      <c r="H131" s="15">
        <v>1800.0</v>
      </c>
      <c r="I131" s="15" t="s">
        <v>308</v>
      </c>
      <c r="J131" s="15" t="s">
        <v>260</v>
      </c>
      <c r="K131" s="5"/>
    </row>
    <row r="132" ht="14.25" customHeight="1">
      <c r="B132" s="6"/>
      <c r="C132" s="6"/>
    </row>
    <row r="133" ht="14.25" customHeight="1">
      <c r="B133" s="6"/>
      <c r="C133" s="6"/>
    </row>
    <row r="134" ht="14.25" customHeight="1">
      <c r="B134" s="6"/>
      <c r="C134" s="6"/>
    </row>
    <row r="135" ht="14.25" customHeight="1">
      <c r="B135" s="22"/>
      <c r="C135" s="57" t="s">
        <v>2</v>
      </c>
      <c r="D135" s="15" t="s">
        <v>312</v>
      </c>
      <c r="E135" s="15" t="s">
        <v>6</v>
      </c>
      <c r="F135" s="15"/>
      <c r="G135" s="15"/>
      <c r="H135" s="15" t="s">
        <v>278</v>
      </c>
      <c r="I135" s="15" t="s">
        <v>300</v>
      </c>
      <c r="J135" s="15" t="s">
        <v>313</v>
      </c>
      <c r="K135" s="5"/>
    </row>
    <row r="136" ht="14.25" customHeight="1">
      <c r="B136" s="22"/>
      <c r="C136" s="57">
        <v>11102.0</v>
      </c>
      <c r="D136" s="15" t="s">
        <v>314</v>
      </c>
      <c r="E136" s="15">
        <v>1.0</v>
      </c>
      <c r="F136" s="15"/>
      <c r="G136" s="15"/>
      <c r="H136" s="15">
        <v>500.0</v>
      </c>
      <c r="I136" s="5"/>
      <c r="J136" s="15" t="s">
        <v>315</v>
      </c>
      <c r="K136" s="5"/>
      <c r="L136" s="38" t="s">
        <v>316</v>
      </c>
    </row>
    <row r="137" ht="14.25" customHeight="1">
      <c r="B137" s="22"/>
      <c r="C137" s="57">
        <v>10621.0</v>
      </c>
      <c r="D137" s="15" t="s">
        <v>317</v>
      </c>
      <c r="E137" s="15">
        <v>1.0</v>
      </c>
      <c r="F137" s="15"/>
      <c r="G137" s="15"/>
      <c r="H137" s="15">
        <v>1100.0</v>
      </c>
      <c r="I137" s="15" t="s">
        <v>304</v>
      </c>
      <c r="J137" s="15" t="s">
        <v>318</v>
      </c>
      <c r="K137" s="5"/>
    </row>
    <row r="138" ht="14.25" customHeight="1">
      <c r="B138" s="22"/>
      <c r="C138" s="57">
        <v>10621.0</v>
      </c>
      <c r="D138" s="15" t="s">
        <v>317</v>
      </c>
      <c r="E138" s="15">
        <v>1.0</v>
      </c>
      <c r="F138" s="15"/>
      <c r="G138" s="15"/>
      <c r="H138" s="15">
        <v>1100.0</v>
      </c>
      <c r="I138" s="15" t="s">
        <v>304</v>
      </c>
      <c r="J138" s="15" t="s">
        <v>318</v>
      </c>
      <c r="K138" s="5"/>
    </row>
    <row r="139" ht="14.25" customHeight="1">
      <c r="B139" s="22"/>
      <c r="C139" s="57">
        <v>10621.0</v>
      </c>
      <c r="D139" s="15" t="s">
        <v>317</v>
      </c>
      <c r="E139" s="15">
        <v>1.0</v>
      </c>
      <c r="F139" s="15"/>
      <c r="G139" s="15"/>
      <c r="H139" s="15">
        <v>1100.0</v>
      </c>
      <c r="I139" s="15" t="s">
        <v>304</v>
      </c>
      <c r="J139" s="15" t="s">
        <v>318</v>
      </c>
      <c r="K139" s="5"/>
    </row>
    <row r="140" ht="14.25" customHeight="1">
      <c r="B140" s="22"/>
      <c r="C140" s="57">
        <v>11102.0</v>
      </c>
      <c r="D140" s="15" t="s">
        <v>314</v>
      </c>
      <c r="E140" s="15">
        <v>1.0</v>
      </c>
      <c r="F140" s="15"/>
      <c r="G140" s="15"/>
      <c r="H140" s="15">
        <v>500.0</v>
      </c>
      <c r="I140" s="5"/>
      <c r="J140" s="15" t="s">
        <v>315</v>
      </c>
      <c r="K140" s="5"/>
      <c r="L140" s="38" t="s">
        <v>319</v>
      </c>
    </row>
    <row r="141" ht="14.25" customHeight="1">
      <c r="B141" s="22"/>
      <c r="C141" s="57">
        <v>20620.0</v>
      </c>
      <c r="D141" s="15" t="s">
        <v>320</v>
      </c>
      <c r="E141" s="15">
        <v>1.0</v>
      </c>
      <c r="F141" s="15"/>
      <c r="G141" s="15"/>
      <c r="H141" s="15">
        <v>1100.0</v>
      </c>
      <c r="I141" s="5"/>
      <c r="J141" s="15" t="s">
        <v>315</v>
      </c>
      <c r="K141" s="5"/>
      <c r="L141" s="38" t="s">
        <v>321</v>
      </c>
    </row>
    <row r="142" ht="14.25" customHeight="1">
      <c r="B142" s="22"/>
      <c r="C142" s="57">
        <v>20620.0</v>
      </c>
      <c r="D142" s="15" t="s">
        <v>320</v>
      </c>
      <c r="E142" s="15">
        <v>1.0</v>
      </c>
      <c r="F142" s="15"/>
      <c r="G142" s="15"/>
      <c r="H142" s="15">
        <v>1100.0</v>
      </c>
      <c r="I142" s="5"/>
      <c r="J142" s="15" t="s">
        <v>315</v>
      </c>
      <c r="K142" s="5"/>
      <c r="L142" s="38" t="s">
        <v>322</v>
      </c>
    </row>
    <row r="143" ht="14.25" customHeight="1">
      <c r="B143" s="22"/>
      <c r="C143" s="57">
        <v>10612.0</v>
      </c>
      <c r="D143" s="15" t="s">
        <v>320</v>
      </c>
      <c r="E143" s="15">
        <v>1.0</v>
      </c>
      <c r="F143" s="15"/>
      <c r="G143" s="15"/>
      <c r="H143" s="15">
        <v>959.0</v>
      </c>
      <c r="I143" s="15" t="s">
        <v>304</v>
      </c>
      <c r="J143" s="15" t="s">
        <v>324</v>
      </c>
      <c r="K143" s="5"/>
    </row>
    <row r="144" ht="14.25" customHeight="1">
      <c r="B144" s="22"/>
      <c r="C144" s="57">
        <v>10612.0</v>
      </c>
      <c r="D144" s="15" t="s">
        <v>320</v>
      </c>
      <c r="E144" s="15">
        <v>1.0</v>
      </c>
      <c r="F144" s="15"/>
      <c r="G144" s="15"/>
      <c r="H144" s="15">
        <v>1100.0</v>
      </c>
      <c r="I144" s="5"/>
      <c r="J144" s="15" t="s">
        <v>325</v>
      </c>
      <c r="K144" s="5"/>
    </row>
    <row r="145" ht="14.25" customHeight="1">
      <c r="B145" s="22"/>
      <c r="C145" s="57">
        <v>10643.0</v>
      </c>
      <c r="D145" s="15" t="s">
        <v>320</v>
      </c>
      <c r="E145" s="15">
        <v>1.0</v>
      </c>
      <c r="F145" s="15"/>
      <c r="G145" s="15"/>
      <c r="H145" s="15">
        <v>1150.0</v>
      </c>
      <c r="I145" s="5"/>
      <c r="J145" s="15" t="s">
        <v>315</v>
      </c>
      <c r="K145" s="15"/>
      <c r="L145" s="38" t="s">
        <v>326</v>
      </c>
    </row>
    <row r="146" ht="14.25" customHeight="1">
      <c r="B146" s="22"/>
      <c r="C146" s="57">
        <v>11501.0</v>
      </c>
      <c r="D146" s="15" t="s">
        <v>320</v>
      </c>
      <c r="E146" s="15">
        <v>1.0</v>
      </c>
      <c r="F146" s="15"/>
      <c r="G146" s="15"/>
      <c r="H146" s="15">
        <v>1450.0</v>
      </c>
      <c r="I146" s="15" t="s">
        <v>304</v>
      </c>
      <c r="J146" s="15" t="s">
        <v>327</v>
      </c>
      <c r="K146" s="5"/>
    </row>
    <row r="147" ht="14.25" customHeight="1">
      <c r="B147" s="22"/>
      <c r="C147" s="57">
        <v>10607.0</v>
      </c>
      <c r="D147" s="15" t="s">
        <v>320</v>
      </c>
      <c r="E147" s="15">
        <v>1.0</v>
      </c>
      <c r="F147" s="15"/>
      <c r="G147" s="15"/>
      <c r="H147" s="15">
        <v>1100.0</v>
      </c>
      <c r="I147" s="5"/>
      <c r="J147" s="15" t="s">
        <v>325</v>
      </c>
      <c r="K147" s="5"/>
    </row>
    <row r="148" ht="14.25" customHeight="1">
      <c r="B148" s="22"/>
      <c r="C148" s="57">
        <v>1520.0</v>
      </c>
      <c r="D148" s="15" t="s">
        <v>328</v>
      </c>
      <c r="E148" s="15">
        <v>1.0</v>
      </c>
      <c r="F148" s="15"/>
      <c r="G148" s="15"/>
      <c r="H148" s="15">
        <v>3000.0</v>
      </c>
      <c r="I148" s="15" t="s">
        <v>45</v>
      </c>
      <c r="J148" s="15" t="s">
        <v>329</v>
      </c>
      <c r="K148" s="5"/>
    </row>
    <row r="149" ht="14.25" customHeight="1">
      <c r="B149" s="22"/>
      <c r="C149" s="57">
        <v>121041.0</v>
      </c>
      <c r="D149" s="15" t="s">
        <v>330</v>
      </c>
      <c r="E149" s="15">
        <v>2.0</v>
      </c>
      <c r="F149" s="15"/>
      <c r="G149" s="15"/>
      <c r="H149" s="15">
        <v>2900.0</v>
      </c>
      <c r="I149" s="15" t="s">
        <v>45</v>
      </c>
      <c r="J149" s="15" t="s">
        <v>329</v>
      </c>
      <c r="K149" s="5"/>
    </row>
    <row r="150" ht="14.25" customHeight="1">
      <c r="B150" s="22"/>
      <c r="C150" s="22"/>
      <c r="D150" s="5"/>
      <c r="E150" s="5"/>
      <c r="F150" s="5"/>
      <c r="G150" s="5"/>
      <c r="H150" s="5"/>
      <c r="I150" s="5"/>
      <c r="J150" s="5"/>
      <c r="K150" s="5"/>
    </row>
    <row r="151" ht="14.25" customHeight="1">
      <c r="B151" s="6"/>
      <c r="C151" s="6"/>
    </row>
    <row r="152" ht="14.25" customHeight="1">
      <c r="B152" s="6"/>
      <c r="C152" s="6"/>
    </row>
    <row r="153" ht="14.25" customHeight="1">
      <c r="B153" s="6"/>
      <c r="C153" s="6"/>
    </row>
    <row r="154" ht="14.25" customHeight="1">
      <c r="B154" s="93"/>
      <c r="C154" s="6"/>
      <c r="D154" s="41" t="s">
        <v>331</v>
      </c>
    </row>
    <row r="155" ht="14.25" customHeight="1">
      <c r="B155" s="2"/>
      <c r="C155" s="7" t="s">
        <v>2</v>
      </c>
      <c r="D155" s="11" t="s">
        <v>4</v>
      </c>
      <c r="E155" s="11" t="s">
        <v>6</v>
      </c>
      <c r="F155" s="11"/>
      <c r="G155" s="11"/>
      <c r="H155" s="11" t="s">
        <v>26</v>
      </c>
      <c r="I155" s="11" t="s">
        <v>300</v>
      </c>
      <c r="J155" s="11" t="s">
        <v>10</v>
      </c>
      <c r="K155" s="115"/>
      <c r="L155" s="115"/>
    </row>
    <row r="156" ht="14.25" customHeight="1">
      <c r="B156" s="22"/>
      <c r="C156" s="57">
        <v>10635.0</v>
      </c>
      <c r="D156" s="15" t="s">
        <v>332</v>
      </c>
      <c r="E156" s="15">
        <v>1.0</v>
      </c>
      <c r="F156" s="15"/>
      <c r="G156" s="15"/>
      <c r="H156" s="15">
        <v>2600.0</v>
      </c>
      <c r="I156" s="15" t="s">
        <v>333</v>
      </c>
      <c r="J156" s="15" t="s">
        <v>334</v>
      </c>
      <c r="K156" s="5"/>
      <c r="L156" s="5"/>
    </row>
    <row r="157" ht="14.25" customHeight="1">
      <c r="B157" s="22"/>
      <c r="C157" s="57">
        <v>10643.0</v>
      </c>
      <c r="D157" s="15" t="s">
        <v>332</v>
      </c>
      <c r="E157" s="15">
        <v>1.0</v>
      </c>
      <c r="F157" s="15"/>
      <c r="G157" s="15"/>
      <c r="H157" s="15">
        <v>2000.0</v>
      </c>
      <c r="I157" s="5"/>
      <c r="J157" s="15" t="s">
        <v>335</v>
      </c>
      <c r="K157" s="5"/>
      <c r="L157" s="5"/>
    </row>
    <row r="158" ht="14.25" customHeight="1">
      <c r="B158" s="22"/>
      <c r="C158" s="57">
        <v>10607.0</v>
      </c>
      <c r="D158" s="15" t="s">
        <v>332</v>
      </c>
      <c r="E158" s="15">
        <v>1.0</v>
      </c>
      <c r="F158" s="15"/>
      <c r="G158" s="15"/>
      <c r="H158" s="15">
        <v>2000.0</v>
      </c>
      <c r="I158" s="5"/>
      <c r="J158" s="15" t="s">
        <v>336</v>
      </c>
      <c r="K158" s="5"/>
      <c r="L158" s="5"/>
    </row>
    <row r="159" ht="14.25" customHeight="1">
      <c r="B159" s="22"/>
      <c r="C159" s="57">
        <v>10604.0</v>
      </c>
      <c r="D159" s="15" t="s">
        <v>332</v>
      </c>
      <c r="E159" s="15">
        <v>1.0</v>
      </c>
      <c r="F159" s="15"/>
      <c r="G159" s="15"/>
      <c r="H159" s="15">
        <v>2100.0</v>
      </c>
      <c r="I159" s="15" t="s">
        <v>337</v>
      </c>
      <c r="J159" s="15" t="s">
        <v>64</v>
      </c>
      <c r="K159" s="5"/>
      <c r="L159" s="5"/>
    </row>
    <row r="160" ht="14.25" customHeight="1">
      <c r="B160" s="22"/>
      <c r="C160" s="57">
        <v>10514.0</v>
      </c>
      <c r="D160" s="15" t="s">
        <v>332</v>
      </c>
      <c r="E160" s="15">
        <v>2.0</v>
      </c>
      <c r="F160" s="15"/>
      <c r="G160" s="15"/>
      <c r="H160" s="15">
        <v>950.0</v>
      </c>
      <c r="I160" s="5"/>
      <c r="J160" s="15" t="s">
        <v>338</v>
      </c>
      <c r="K160" s="5"/>
      <c r="L160" s="5"/>
    </row>
    <row r="161" ht="14.25" customHeight="1">
      <c r="B161" s="22"/>
      <c r="C161" s="57">
        <v>10632.0</v>
      </c>
      <c r="D161" s="15" t="s">
        <v>332</v>
      </c>
      <c r="E161" s="15">
        <v>1.0</v>
      </c>
      <c r="F161" s="15"/>
      <c r="G161" s="15"/>
      <c r="H161" s="15">
        <v>2500.0</v>
      </c>
      <c r="I161" s="15" t="s">
        <v>339</v>
      </c>
      <c r="J161" s="39" t="s">
        <v>340</v>
      </c>
      <c r="K161" s="5"/>
      <c r="L161" s="5"/>
    </row>
    <row r="162" ht="14.25" customHeight="1">
      <c r="B162" s="22"/>
      <c r="C162" s="22"/>
      <c r="D162" s="15" t="s">
        <v>332</v>
      </c>
      <c r="E162" s="15">
        <v>1.0</v>
      </c>
      <c r="F162" s="15"/>
      <c r="G162" s="15"/>
      <c r="H162" s="15">
        <v>1550.0</v>
      </c>
      <c r="I162" s="15" t="s">
        <v>341</v>
      </c>
      <c r="J162" s="15" t="s">
        <v>343</v>
      </c>
      <c r="K162" s="5"/>
      <c r="L162" s="5"/>
    </row>
    <row r="163" ht="14.25" customHeight="1">
      <c r="B163" s="22"/>
      <c r="C163" s="22"/>
      <c r="D163" s="15" t="s">
        <v>332</v>
      </c>
      <c r="E163" s="15">
        <v>1.0</v>
      </c>
      <c r="F163" s="15"/>
      <c r="G163" s="15"/>
      <c r="H163" s="15">
        <v>1500.0</v>
      </c>
      <c r="I163" s="15" t="s">
        <v>333</v>
      </c>
      <c r="J163" s="15" t="s">
        <v>334</v>
      </c>
      <c r="K163" s="5"/>
      <c r="L163" s="5"/>
    </row>
    <row r="164" ht="14.25" customHeight="1">
      <c r="B164" s="22"/>
      <c r="C164" s="22"/>
      <c r="D164" s="15" t="s">
        <v>344</v>
      </c>
      <c r="E164" s="15">
        <v>1.0</v>
      </c>
      <c r="F164" s="15"/>
      <c r="G164" s="15"/>
      <c r="H164" s="15">
        <v>500.0</v>
      </c>
      <c r="I164" s="15" t="s">
        <v>333</v>
      </c>
      <c r="J164" s="15" t="s">
        <v>334</v>
      </c>
      <c r="K164" s="5"/>
      <c r="L164" s="5"/>
    </row>
    <row r="165" ht="14.25" customHeight="1">
      <c r="B165" s="22"/>
      <c r="C165" s="57">
        <v>11509.0</v>
      </c>
      <c r="D165" s="15" t="s">
        <v>344</v>
      </c>
      <c r="E165" s="15">
        <v>1.0</v>
      </c>
      <c r="F165" s="15"/>
      <c r="G165" s="15"/>
      <c r="H165" s="15">
        <v>500.0</v>
      </c>
      <c r="I165" s="15" t="s">
        <v>345</v>
      </c>
      <c r="J165" s="15" t="s">
        <v>346</v>
      </c>
      <c r="K165" s="5"/>
      <c r="L165" s="5"/>
    </row>
    <row r="166" ht="14.25" customHeight="1">
      <c r="B166" s="22"/>
      <c r="C166" s="57">
        <v>11509.0</v>
      </c>
      <c r="D166" s="15" t="s">
        <v>344</v>
      </c>
      <c r="E166" s="15">
        <v>1.0</v>
      </c>
      <c r="F166" s="15"/>
      <c r="G166" s="15"/>
      <c r="H166" s="15">
        <v>500.0</v>
      </c>
      <c r="I166" s="15" t="s">
        <v>345</v>
      </c>
      <c r="J166" s="15" t="s">
        <v>346</v>
      </c>
      <c r="K166" s="5"/>
      <c r="L166" s="5"/>
    </row>
    <row r="167" ht="14.25" customHeight="1">
      <c r="B167" s="22"/>
      <c r="C167" s="22"/>
      <c r="D167" s="15" t="s">
        <v>344</v>
      </c>
      <c r="E167" s="29">
        <v>1.0</v>
      </c>
      <c r="F167" s="15"/>
      <c r="G167" s="15"/>
      <c r="H167" s="15">
        <v>500.0</v>
      </c>
      <c r="I167" s="15" t="s">
        <v>345</v>
      </c>
      <c r="J167" s="15" t="s">
        <v>346</v>
      </c>
      <c r="K167" s="5"/>
      <c r="L167" s="5"/>
    </row>
    <row r="168" ht="14.25" customHeight="1">
      <c r="B168" s="22"/>
      <c r="C168" s="22"/>
      <c r="D168" s="15" t="s">
        <v>344</v>
      </c>
      <c r="E168" s="15">
        <v>1.0</v>
      </c>
      <c r="F168" s="15"/>
      <c r="G168" s="15"/>
      <c r="H168" s="15">
        <v>500.0</v>
      </c>
      <c r="I168" s="5"/>
      <c r="J168" s="15" t="s">
        <v>347</v>
      </c>
      <c r="K168" s="5"/>
      <c r="L168" s="5"/>
    </row>
    <row r="169" ht="14.25" customHeight="1">
      <c r="B169" s="22"/>
      <c r="C169" s="22"/>
      <c r="D169" s="15" t="s">
        <v>344</v>
      </c>
      <c r="E169" s="15">
        <v>1.0</v>
      </c>
      <c r="F169" s="15"/>
      <c r="G169" s="15"/>
      <c r="H169" s="15">
        <v>500.0</v>
      </c>
      <c r="I169" s="15" t="s">
        <v>345</v>
      </c>
      <c r="J169" s="15" t="s">
        <v>349</v>
      </c>
      <c r="K169" s="5"/>
      <c r="L169" s="5"/>
    </row>
    <row r="170" ht="14.25" customHeight="1">
      <c r="B170" s="22"/>
      <c r="C170" s="22"/>
      <c r="D170" s="15" t="s">
        <v>344</v>
      </c>
      <c r="E170" s="15">
        <v>1.0</v>
      </c>
      <c r="F170" s="15"/>
      <c r="G170" s="15"/>
      <c r="H170" s="15">
        <v>500.0</v>
      </c>
      <c r="I170" s="5"/>
      <c r="J170" s="15" t="s">
        <v>352</v>
      </c>
      <c r="K170" s="5"/>
      <c r="L170" s="5"/>
    </row>
    <row r="171" ht="14.25" customHeight="1">
      <c r="B171" s="22"/>
      <c r="C171" s="22"/>
      <c r="D171" s="15" t="s">
        <v>344</v>
      </c>
      <c r="E171" s="15">
        <v>1.0</v>
      </c>
      <c r="F171" s="15"/>
      <c r="G171" s="15"/>
      <c r="H171" s="15">
        <v>500.0</v>
      </c>
      <c r="I171" s="5"/>
      <c r="J171" s="15" t="s">
        <v>354</v>
      </c>
      <c r="K171" s="5"/>
      <c r="L171" s="5"/>
    </row>
    <row r="172" ht="14.25" customHeight="1">
      <c r="B172" s="22"/>
      <c r="C172" s="22"/>
      <c r="D172" s="15" t="s">
        <v>344</v>
      </c>
      <c r="E172" s="15">
        <v>1.0</v>
      </c>
      <c r="F172" s="15"/>
      <c r="G172" s="15"/>
      <c r="H172" s="15">
        <v>500.0</v>
      </c>
      <c r="I172" s="5"/>
      <c r="J172" s="15" t="s">
        <v>356</v>
      </c>
      <c r="K172" s="5"/>
      <c r="L172" s="5"/>
    </row>
    <row r="173" ht="14.25" customHeight="1">
      <c r="B173" s="22"/>
      <c r="C173" s="22"/>
      <c r="D173" s="15" t="s">
        <v>344</v>
      </c>
      <c r="E173" s="15">
        <v>1.0</v>
      </c>
      <c r="F173" s="15"/>
      <c r="G173" s="15"/>
      <c r="H173" s="15">
        <v>500.0</v>
      </c>
      <c r="I173" s="15" t="s">
        <v>57</v>
      </c>
      <c r="J173" s="15" t="s">
        <v>358</v>
      </c>
      <c r="K173" s="5"/>
      <c r="L173" s="5"/>
    </row>
    <row r="174" ht="14.25" customHeight="1">
      <c r="B174" s="22"/>
      <c r="C174" s="22"/>
      <c r="D174" s="15" t="s">
        <v>344</v>
      </c>
      <c r="E174" s="15">
        <v>1.0</v>
      </c>
      <c r="F174" s="15"/>
      <c r="G174" s="15"/>
      <c r="H174" s="15">
        <v>500.0</v>
      </c>
      <c r="I174" s="5"/>
      <c r="J174" s="5"/>
      <c r="K174" s="5"/>
      <c r="L174" s="5"/>
    </row>
    <row r="175" ht="14.25" customHeight="1">
      <c r="B175" s="22"/>
      <c r="C175" s="22"/>
      <c r="D175" s="15" t="s">
        <v>362</v>
      </c>
      <c r="E175" s="15">
        <v>1.0</v>
      </c>
      <c r="F175" s="15"/>
      <c r="G175" s="15"/>
      <c r="H175" s="15">
        <v>800.0</v>
      </c>
      <c r="I175" s="5"/>
      <c r="J175" s="15" t="s">
        <v>364</v>
      </c>
      <c r="K175" s="5"/>
      <c r="L175" s="5"/>
    </row>
    <row r="176" ht="14.25" customHeight="1">
      <c r="B176" s="22"/>
      <c r="C176" s="22"/>
      <c r="D176" s="15" t="s">
        <v>362</v>
      </c>
      <c r="E176" s="15">
        <v>1.0</v>
      </c>
      <c r="F176" s="15"/>
      <c r="G176" s="15"/>
      <c r="H176" s="15">
        <v>800.0</v>
      </c>
      <c r="I176" s="15" t="s">
        <v>345</v>
      </c>
      <c r="J176" s="15" t="s">
        <v>349</v>
      </c>
      <c r="K176" s="5"/>
      <c r="L176" s="5"/>
    </row>
    <row r="177" ht="14.25" customHeight="1">
      <c r="B177" s="22"/>
      <c r="C177" s="22"/>
      <c r="D177" s="15" t="s">
        <v>362</v>
      </c>
      <c r="E177" s="15">
        <v>1.0</v>
      </c>
      <c r="F177" s="15"/>
      <c r="G177" s="15"/>
      <c r="H177" s="15">
        <v>800.0</v>
      </c>
      <c r="I177" s="15"/>
      <c r="J177" s="5"/>
      <c r="K177" s="5"/>
      <c r="L177" s="5"/>
    </row>
    <row r="178" ht="14.25" customHeight="1">
      <c r="B178" s="22"/>
      <c r="C178" s="22"/>
      <c r="D178" s="5"/>
      <c r="E178" s="5"/>
      <c r="F178" s="5"/>
      <c r="G178" s="5"/>
      <c r="H178" s="5"/>
      <c r="I178" s="5"/>
      <c r="J178" s="5"/>
      <c r="K178" s="5"/>
      <c r="L178" s="5"/>
    </row>
    <row r="179" ht="14.25" customHeight="1">
      <c r="B179" s="22"/>
      <c r="C179" s="22"/>
      <c r="D179" s="5"/>
      <c r="E179" s="5"/>
      <c r="F179" s="5"/>
      <c r="G179" s="5"/>
      <c r="H179" s="5"/>
      <c r="I179" s="5"/>
      <c r="J179" s="5"/>
      <c r="K179" s="5"/>
      <c r="L179" s="5"/>
    </row>
    <row r="180" ht="14.25" customHeight="1">
      <c r="B180" s="22"/>
      <c r="C180" s="22"/>
      <c r="D180" s="5"/>
      <c r="E180" s="5"/>
      <c r="F180" s="5"/>
      <c r="G180" s="5"/>
      <c r="H180" s="5"/>
      <c r="I180" s="5"/>
      <c r="J180" s="5"/>
      <c r="K180" s="5"/>
      <c r="L180" s="5"/>
    </row>
    <row r="181" ht="14.25" customHeight="1">
      <c r="B181" s="22"/>
      <c r="C181" s="22"/>
      <c r="D181" s="5"/>
      <c r="E181" s="5"/>
      <c r="F181" s="5"/>
      <c r="G181" s="5"/>
      <c r="H181" s="5"/>
      <c r="I181" s="5"/>
      <c r="J181" s="5"/>
      <c r="K181" s="5"/>
      <c r="L181" s="5"/>
    </row>
    <row r="182" ht="14.25" customHeight="1">
      <c r="B182" s="22"/>
      <c r="C182" s="22"/>
      <c r="D182" s="5"/>
      <c r="E182" s="5"/>
      <c r="F182" s="5"/>
      <c r="G182" s="5"/>
      <c r="H182" s="5"/>
      <c r="I182" s="5"/>
      <c r="J182" s="5"/>
      <c r="K182" s="5"/>
      <c r="L182" s="5"/>
    </row>
    <row r="183" ht="14.25" customHeight="1">
      <c r="B183" s="22"/>
      <c r="C183" s="22"/>
      <c r="D183" s="5"/>
      <c r="E183" s="5"/>
      <c r="F183" s="5"/>
      <c r="G183" s="5"/>
      <c r="H183" s="5"/>
      <c r="I183" s="5"/>
      <c r="J183" s="5"/>
      <c r="K183" s="5"/>
      <c r="L183" s="5"/>
    </row>
    <row r="184" ht="14.25" customHeight="1">
      <c r="B184" s="6"/>
      <c r="C184" s="6"/>
    </row>
    <row r="185" ht="14.25" customHeight="1">
      <c r="B185" s="6"/>
      <c r="C185" s="6"/>
    </row>
    <row r="186" ht="14.25" customHeight="1">
      <c r="B186" s="6"/>
      <c r="C186" s="6"/>
      <c r="D186" s="128">
        <v>45756.0</v>
      </c>
    </row>
    <row r="187" ht="14.25" customHeight="1">
      <c r="B187" s="2"/>
      <c r="C187" s="7" t="s">
        <v>2</v>
      </c>
      <c r="D187" s="11" t="s">
        <v>4</v>
      </c>
      <c r="E187" s="11" t="s">
        <v>6</v>
      </c>
      <c r="F187" s="11"/>
      <c r="G187" s="11"/>
      <c r="H187" s="11" t="s">
        <v>26</v>
      </c>
      <c r="I187" s="11" t="s">
        <v>300</v>
      </c>
      <c r="J187" s="11" t="s">
        <v>10</v>
      </c>
      <c r="K187" s="115"/>
      <c r="L187" s="115"/>
      <c r="M187" s="131"/>
    </row>
    <row r="188" ht="14.25" customHeight="1">
      <c r="B188" s="22"/>
      <c r="C188" s="57">
        <v>10647.0</v>
      </c>
      <c r="D188" s="15" t="s">
        <v>371</v>
      </c>
      <c r="E188" s="15">
        <v>1.0</v>
      </c>
      <c r="F188" s="15"/>
      <c r="G188" s="15"/>
      <c r="H188" s="15">
        <v>3500.0</v>
      </c>
      <c r="I188" s="15" t="s">
        <v>45</v>
      </c>
      <c r="J188" s="15" t="s">
        <v>207</v>
      </c>
      <c r="K188" s="5"/>
      <c r="L188" s="5"/>
    </row>
    <row r="189" ht="14.25" customHeight="1">
      <c r="B189" s="22"/>
      <c r="C189" s="57">
        <v>10611.0</v>
      </c>
      <c r="D189" s="15" t="s">
        <v>371</v>
      </c>
      <c r="E189" s="15">
        <v>1.0</v>
      </c>
      <c r="F189" s="15"/>
      <c r="G189" s="15"/>
      <c r="H189" s="15">
        <v>2500.0</v>
      </c>
      <c r="I189" s="15" t="s">
        <v>373</v>
      </c>
      <c r="J189" s="39" t="s">
        <v>374</v>
      </c>
      <c r="K189" s="5"/>
      <c r="L189" s="5"/>
    </row>
    <row r="190" ht="14.25" customHeight="1">
      <c r="B190" s="22"/>
      <c r="C190" s="57">
        <v>40615.0</v>
      </c>
      <c r="D190" s="15" t="s">
        <v>371</v>
      </c>
      <c r="E190" s="15">
        <v>1.0</v>
      </c>
      <c r="F190" s="15"/>
      <c r="G190" s="15"/>
      <c r="H190" s="15">
        <v>4000.0</v>
      </c>
      <c r="I190" s="5"/>
      <c r="J190" s="5"/>
      <c r="K190" s="5"/>
      <c r="L190" s="5"/>
    </row>
    <row r="191" ht="14.25" customHeight="1">
      <c r="B191" s="22"/>
      <c r="C191" s="57">
        <v>10507.0</v>
      </c>
      <c r="D191" s="15" t="s">
        <v>371</v>
      </c>
      <c r="E191" s="15">
        <v>1.0</v>
      </c>
      <c r="F191" s="15"/>
      <c r="G191" s="15"/>
      <c r="H191" s="15">
        <v>2300.0</v>
      </c>
      <c r="I191" s="15" t="s">
        <v>375</v>
      </c>
      <c r="J191" s="39" t="s">
        <v>376</v>
      </c>
      <c r="K191" s="5"/>
      <c r="L191" s="5"/>
    </row>
    <row r="192" ht="14.25" customHeight="1">
      <c r="B192" s="22"/>
      <c r="C192" s="57">
        <v>50601.0</v>
      </c>
      <c r="D192" s="15" t="s">
        <v>371</v>
      </c>
      <c r="E192" s="15">
        <v>1.0</v>
      </c>
      <c r="F192" s="15"/>
      <c r="G192" s="15"/>
      <c r="H192" s="15">
        <v>3300.0</v>
      </c>
      <c r="I192" s="5"/>
      <c r="J192" s="5"/>
      <c r="K192" s="5"/>
      <c r="L192" s="5"/>
    </row>
    <row r="193" ht="14.25" customHeight="1">
      <c r="B193" s="22"/>
      <c r="C193" s="57">
        <v>10608.0</v>
      </c>
      <c r="D193" s="15" t="s">
        <v>371</v>
      </c>
      <c r="E193" s="15">
        <v>1.0</v>
      </c>
      <c r="F193" s="15"/>
      <c r="G193" s="15"/>
      <c r="H193" s="15">
        <v>2900.0</v>
      </c>
      <c r="I193" s="15" t="s">
        <v>45</v>
      </c>
      <c r="J193" s="15" t="s">
        <v>377</v>
      </c>
      <c r="K193" s="5"/>
      <c r="L193" s="5"/>
    </row>
    <row r="194" ht="14.25" customHeight="1">
      <c r="B194" s="22"/>
      <c r="C194" s="57">
        <v>10623.0</v>
      </c>
      <c r="D194" s="15" t="s">
        <v>371</v>
      </c>
      <c r="E194" s="15">
        <v>1.0</v>
      </c>
      <c r="F194" s="15"/>
      <c r="G194" s="15"/>
      <c r="H194" s="15">
        <v>2700.0</v>
      </c>
      <c r="I194" s="15" t="s">
        <v>378</v>
      </c>
      <c r="J194" s="39" t="s">
        <v>379</v>
      </c>
      <c r="K194" s="5"/>
      <c r="L194" s="5"/>
    </row>
    <row r="195" ht="14.25" customHeight="1">
      <c r="B195" s="22"/>
      <c r="C195" s="57">
        <v>10637.0</v>
      </c>
      <c r="D195" s="15" t="s">
        <v>371</v>
      </c>
      <c r="E195" s="15">
        <v>1.0</v>
      </c>
      <c r="F195" s="15"/>
      <c r="G195" s="15"/>
      <c r="H195" s="15">
        <v>2500.0</v>
      </c>
      <c r="I195" s="15" t="s">
        <v>378</v>
      </c>
      <c r="J195" s="39" t="s">
        <v>379</v>
      </c>
      <c r="K195" s="5"/>
      <c r="L195" s="5"/>
    </row>
    <row r="196" ht="14.25" customHeight="1">
      <c r="B196" s="22"/>
      <c r="C196" s="57">
        <v>10515.0</v>
      </c>
      <c r="D196" s="15" t="s">
        <v>371</v>
      </c>
      <c r="E196" s="15">
        <v>1.0</v>
      </c>
      <c r="F196" s="15"/>
      <c r="G196" s="15"/>
      <c r="H196" s="15">
        <v>2500.0</v>
      </c>
      <c r="I196" s="5"/>
      <c r="J196" s="5"/>
      <c r="K196" s="5"/>
      <c r="L196" s="5"/>
    </row>
    <row r="197" ht="14.25" customHeight="1">
      <c r="B197" s="22"/>
      <c r="C197" s="57">
        <v>22260.0</v>
      </c>
      <c r="D197" s="15" t="s">
        <v>371</v>
      </c>
      <c r="E197" s="15">
        <v>1.0</v>
      </c>
      <c r="F197" s="15"/>
      <c r="G197" s="15"/>
      <c r="H197" s="15">
        <v>3900.0</v>
      </c>
      <c r="I197" s="137" t="s">
        <v>66</v>
      </c>
      <c r="J197" s="39" t="s">
        <v>353</v>
      </c>
      <c r="K197" s="5"/>
      <c r="L197" s="5"/>
    </row>
    <row r="198" ht="14.25" customHeight="1">
      <c r="B198" s="22"/>
      <c r="C198" s="57">
        <v>40615.0</v>
      </c>
      <c r="D198" s="15" t="s">
        <v>371</v>
      </c>
      <c r="E198" s="15">
        <v>1.0</v>
      </c>
      <c r="F198" s="15"/>
      <c r="G198" s="15"/>
      <c r="H198" s="15">
        <v>4000.0</v>
      </c>
      <c r="I198" s="5"/>
      <c r="J198" s="5"/>
      <c r="K198" s="5"/>
      <c r="L198" s="5"/>
    </row>
    <row r="199" ht="14.25" customHeight="1">
      <c r="B199" s="22"/>
      <c r="C199" s="57">
        <v>10643.0</v>
      </c>
      <c r="D199" s="15" t="s">
        <v>371</v>
      </c>
      <c r="E199" s="15">
        <v>1.0</v>
      </c>
      <c r="F199" s="15"/>
      <c r="G199" s="15"/>
      <c r="H199" s="15">
        <v>2000.0</v>
      </c>
      <c r="I199" s="5"/>
      <c r="J199" s="15" t="s">
        <v>335</v>
      </c>
      <c r="K199" s="5"/>
      <c r="L199" s="5"/>
    </row>
    <row r="200" ht="14.25" customHeight="1">
      <c r="B200" s="22"/>
      <c r="C200" s="57">
        <v>10515.0</v>
      </c>
      <c r="D200" s="15" t="s">
        <v>371</v>
      </c>
      <c r="E200" s="15">
        <v>1.0</v>
      </c>
      <c r="F200" s="15"/>
      <c r="G200" s="15"/>
      <c r="H200" s="15">
        <v>2500.0</v>
      </c>
      <c r="I200" s="5"/>
      <c r="J200" s="5"/>
      <c r="K200" s="5"/>
      <c r="L200" s="5"/>
    </row>
    <row r="201" ht="14.25" customHeight="1">
      <c r="B201" s="22"/>
      <c r="C201" s="57">
        <v>10643.0</v>
      </c>
      <c r="D201" s="15" t="s">
        <v>371</v>
      </c>
      <c r="E201" s="15">
        <v>1.0</v>
      </c>
      <c r="F201" s="15"/>
      <c r="G201" s="15"/>
      <c r="H201" s="15">
        <v>2500.0</v>
      </c>
      <c r="I201" s="15" t="s">
        <v>385</v>
      </c>
      <c r="J201" s="39" t="s">
        <v>386</v>
      </c>
      <c r="K201" s="5"/>
      <c r="L201" s="5"/>
    </row>
    <row r="202" ht="14.25" customHeight="1">
      <c r="B202" s="22"/>
      <c r="C202" s="57">
        <v>10515.0</v>
      </c>
      <c r="D202" s="15" t="s">
        <v>371</v>
      </c>
      <c r="E202" s="15">
        <v>1.0</v>
      </c>
      <c r="F202" s="15"/>
      <c r="G202" s="15"/>
      <c r="H202" s="15">
        <v>2500.0</v>
      </c>
      <c r="I202" s="15" t="s">
        <v>388</v>
      </c>
      <c r="J202" s="15" t="s">
        <v>89</v>
      </c>
      <c r="K202" s="5"/>
      <c r="L202" s="5"/>
    </row>
    <row r="203" ht="14.25" customHeight="1">
      <c r="B203" s="22"/>
      <c r="C203" s="22"/>
      <c r="D203" s="5"/>
      <c r="E203" s="5"/>
      <c r="F203" s="5"/>
      <c r="G203" s="5"/>
      <c r="H203" s="5"/>
      <c r="I203" s="5"/>
      <c r="J203" s="5"/>
      <c r="K203" s="5"/>
      <c r="L203" s="5"/>
    </row>
    <row r="204" ht="14.25" customHeight="1">
      <c r="B204" s="22"/>
      <c r="C204" s="22"/>
      <c r="D204" s="5"/>
      <c r="E204" s="5"/>
      <c r="F204" s="5"/>
      <c r="G204" s="5"/>
      <c r="H204" s="5"/>
      <c r="I204" s="5"/>
      <c r="J204" s="5"/>
      <c r="K204" s="5"/>
      <c r="L204" s="5"/>
    </row>
    <row r="205" ht="14.25" customHeight="1">
      <c r="B205" s="22"/>
      <c r="C205" s="22"/>
      <c r="D205" s="5"/>
      <c r="E205" s="5"/>
      <c r="F205" s="5"/>
      <c r="G205" s="5"/>
      <c r="H205" s="5"/>
      <c r="I205" s="5"/>
      <c r="J205" s="5"/>
      <c r="K205" s="5"/>
      <c r="L205" s="5"/>
    </row>
    <row r="206" ht="14.25" customHeight="1">
      <c r="B206" s="22"/>
      <c r="C206" s="22"/>
      <c r="D206" s="5"/>
      <c r="E206" s="5"/>
      <c r="F206" s="5"/>
      <c r="G206" s="5"/>
      <c r="H206" s="5"/>
      <c r="I206" s="5"/>
      <c r="J206" s="5"/>
      <c r="K206" s="5"/>
      <c r="L206" s="5"/>
    </row>
    <row r="207" ht="14.25" customHeight="1">
      <c r="B207" s="22"/>
      <c r="C207" s="22"/>
      <c r="D207" s="5"/>
      <c r="E207" s="5"/>
      <c r="F207" s="5"/>
      <c r="G207" s="5"/>
      <c r="H207" s="5"/>
      <c r="I207" s="5"/>
      <c r="J207" s="5"/>
      <c r="K207" s="5"/>
      <c r="L207" s="5"/>
    </row>
    <row r="208" ht="14.25" customHeight="1">
      <c r="B208" s="22"/>
      <c r="C208" s="22"/>
      <c r="D208" s="5"/>
      <c r="E208" s="5"/>
      <c r="F208" s="5"/>
      <c r="G208" s="5"/>
      <c r="H208" s="5"/>
      <c r="I208" s="5"/>
      <c r="J208" s="5"/>
      <c r="K208" s="5"/>
      <c r="L208" s="5"/>
    </row>
    <row r="209" ht="14.25" customHeight="1">
      <c r="B209" s="22"/>
      <c r="C209" s="22"/>
      <c r="D209" s="5"/>
      <c r="E209" s="5"/>
      <c r="F209" s="5"/>
      <c r="G209" s="5"/>
      <c r="H209" s="5"/>
      <c r="I209" s="5"/>
      <c r="J209" s="5"/>
      <c r="K209" s="5"/>
      <c r="L209" s="5"/>
    </row>
    <row r="210" ht="14.25" customHeight="1">
      <c r="B210" s="6"/>
      <c r="C210" s="6"/>
    </row>
    <row r="211" ht="14.25" customHeight="1">
      <c r="B211" s="6"/>
      <c r="C211" s="6"/>
      <c r="D211" s="141">
        <v>45793.0</v>
      </c>
    </row>
    <row r="212" ht="14.25" customHeight="1">
      <c r="B212" s="2"/>
      <c r="C212" s="7" t="s">
        <v>2</v>
      </c>
      <c r="D212" s="11" t="s">
        <v>4</v>
      </c>
      <c r="E212" s="11" t="s">
        <v>6</v>
      </c>
      <c r="F212" s="11"/>
      <c r="G212" s="11"/>
      <c r="H212" s="11" t="s">
        <v>26</v>
      </c>
      <c r="I212" s="11" t="s">
        <v>300</v>
      </c>
      <c r="J212" s="11" t="s">
        <v>10</v>
      </c>
      <c r="K212" s="115"/>
      <c r="L212" s="115"/>
      <c r="N212" s="38" t="s">
        <v>395</v>
      </c>
    </row>
    <row r="213" ht="14.25" customHeight="1">
      <c r="B213" s="22"/>
      <c r="C213" s="57">
        <v>10515.0</v>
      </c>
      <c r="D213" s="15" t="s">
        <v>371</v>
      </c>
      <c r="E213" s="15">
        <v>1.0</v>
      </c>
      <c r="F213" s="15"/>
      <c r="G213" s="15"/>
      <c r="H213" s="15">
        <v>2500.0</v>
      </c>
      <c r="I213" s="5"/>
      <c r="J213" s="15" t="s">
        <v>396</v>
      </c>
      <c r="K213" s="5"/>
      <c r="L213" s="15" t="s">
        <v>196</v>
      </c>
    </row>
    <row r="214" ht="14.25" customHeight="1">
      <c r="B214" s="22"/>
      <c r="C214" s="57">
        <v>10636.0</v>
      </c>
      <c r="D214" s="15" t="s">
        <v>371</v>
      </c>
      <c r="E214" s="15">
        <v>1.0</v>
      </c>
      <c r="F214" s="15"/>
      <c r="G214" s="15"/>
      <c r="H214" s="15">
        <v>3300.0</v>
      </c>
      <c r="I214" s="5"/>
      <c r="J214" s="15" t="s">
        <v>397</v>
      </c>
      <c r="K214" s="5"/>
      <c r="L214" s="15" t="s">
        <v>48</v>
      </c>
    </row>
    <row r="215" ht="14.25" customHeight="1">
      <c r="B215" s="22"/>
      <c r="C215" s="57">
        <v>10607.0</v>
      </c>
      <c r="D215" s="15" t="s">
        <v>371</v>
      </c>
      <c r="E215" s="15">
        <v>1.0</v>
      </c>
      <c r="F215" s="15"/>
      <c r="G215" s="15"/>
      <c r="H215" s="15">
        <v>2500.0</v>
      </c>
      <c r="I215" s="5"/>
      <c r="J215" s="39" t="s">
        <v>398</v>
      </c>
      <c r="K215" s="5"/>
      <c r="L215" s="15" t="s">
        <v>399</v>
      </c>
    </row>
    <row r="216" ht="14.25" customHeight="1">
      <c r="B216" s="22"/>
      <c r="C216" s="57">
        <v>10628.0</v>
      </c>
      <c r="D216" s="15" t="s">
        <v>371</v>
      </c>
      <c r="E216" s="15">
        <v>1.0</v>
      </c>
      <c r="F216" s="15"/>
      <c r="G216" s="15"/>
      <c r="H216" s="15">
        <v>2700.0</v>
      </c>
      <c r="I216" s="5"/>
      <c r="J216" s="15" t="s">
        <v>397</v>
      </c>
      <c r="K216" s="5"/>
      <c r="L216" s="15" t="s">
        <v>48</v>
      </c>
    </row>
    <row r="217" ht="14.25" customHeight="1">
      <c r="B217" s="22"/>
      <c r="C217" s="57">
        <v>20523.0</v>
      </c>
      <c r="D217" s="15" t="s">
        <v>371</v>
      </c>
      <c r="E217" s="15">
        <v>1.0</v>
      </c>
      <c r="F217" s="15"/>
      <c r="G217" s="15"/>
      <c r="H217" s="15">
        <v>2300.0</v>
      </c>
      <c r="I217" s="5"/>
      <c r="J217" s="15" t="s">
        <v>400</v>
      </c>
      <c r="K217" s="5"/>
      <c r="L217" s="15" t="s">
        <v>401</v>
      </c>
    </row>
    <row r="218" ht="14.25" customHeight="1">
      <c r="B218" s="22"/>
      <c r="C218" s="57">
        <v>10630.0</v>
      </c>
      <c r="D218" s="15" t="s">
        <v>371</v>
      </c>
      <c r="E218" s="15">
        <v>1.0</v>
      </c>
      <c r="F218" s="15"/>
      <c r="G218" s="15"/>
      <c r="H218" s="15">
        <v>3000.0</v>
      </c>
      <c r="I218" s="5"/>
      <c r="J218" s="15" t="s">
        <v>403</v>
      </c>
      <c r="K218" s="5"/>
      <c r="L218" s="5"/>
    </row>
    <row r="219" ht="14.25" customHeight="1">
      <c r="B219" s="22"/>
      <c r="C219" s="57">
        <v>22260.0</v>
      </c>
      <c r="D219" s="15" t="s">
        <v>371</v>
      </c>
      <c r="E219" s="15">
        <v>1.0</v>
      </c>
      <c r="F219" s="15"/>
      <c r="G219" s="15"/>
      <c r="H219" s="15">
        <v>3900.0</v>
      </c>
      <c r="I219" s="5"/>
      <c r="J219" s="15" t="s">
        <v>404</v>
      </c>
      <c r="K219" s="5"/>
      <c r="L219" s="15" t="s">
        <v>48</v>
      </c>
    </row>
    <row r="220" ht="14.25" customHeight="1">
      <c r="B220" s="22"/>
      <c r="C220" s="57">
        <v>10643.0</v>
      </c>
      <c r="D220" s="15" t="s">
        <v>371</v>
      </c>
      <c r="E220" s="15">
        <v>1.0</v>
      </c>
      <c r="F220" s="15"/>
      <c r="G220" s="15"/>
      <c r="H220" s="15">
        <v>2500.0</v>
      </c>
      <c r="I220" s="5"/>
      <c r="J220" s="15" t="s">
        <v>405</v>
      </c>
      <c r="K220" s="5"/>
      <c r="L220" s="15" t="s">
        <v>196</v>
      </c>
    </row>
    <row r="221" ht="14.25" customHeight="1">
      <c r="B221" s="22"/>
      <c r="C221" s="57">
        <v>10637.0</v>
      </c>
      <c r="D221" s="15" t="s">
        <v>371</v>
      </c>
      <c r="E221" s="15">
        <v>1.0</v>
      </c>
      <c r="F221" s="15"/>
      <c r="G221" s="15"/>
      <c r="H221" s="15">
        <v>2500.0</v>
      </c>
      <c r="J221" s="15" t="s">
        <v>406</v>
      </c>
      <c r="K221" s="5"/>
      <c r="L221" s="15"/>
    </row>
    <row r="222" ht="14.25" customHeight="1">
      <c r="B222" s="22"/>
      <c r="C222" s="57">
        <v>10622.0</v>
      </c>
      <c r="D222" s="15" t="s">
        <v>371</v>
      </c>
      <c r="E222" s="15">
        <v>1.0</v>
      </c>
      <c r="F222" s="15"/>
      <c r="G222" s="15"/>
      <c r="H222" s="15">
        <v>2500.0</v>
      </c>
      <c r="I222" s="5"/>
      <c r="J222" s="5"/>
      <c r="K222" s="5"/>
      <c r="L222" s="5"/>
    </row>
    <row r="223" ht="14.25" customHeight="1">
      <c r="B223" s="22"/>
      <c r="C223" s="57">
        <v>40615.0</v>
      </c>
      <c r="D223" s="15" t="s">
        <v>371</v>
      </c>
      <c r="E223" s="15">
        <v>1.0</v>
      </c>
      <c r="F223" s="15"/>
      <c r="G223" s="15"/>
      <c r="H223" s="15">
        <v>4000.0</v>
      </c>
      <c r="I223" s="5"/>
      <c r="J223" s="39" t="s">
        <v>56</v>
      </c>
      <c r="K223" s="144"/>
      <c r="L223" s="5"/>
    </row>
    <row r="224" ht="14.25" customHeight="1">
      <c r="B224" s="22"/>
      <c r="C224" s="57">
        <v>20522.0</v>
      </c>
      <c r="D224" s="15" t="s">
        <v>371</v>
      </c>
      <c r="E224" s="15">
        <v>1.0</v>
      </c>
      <c r="F224" s="15"/>
      <c r="G224" s="15"/>
      <c r="H224" s="15">
        <v>2300.0</v>
      </c>
      <c r="I224" s="5"/>
      <c r="J224" s="5"/>
      <c r="K224" s="5"/>
      <c r="L224" s="5"/>
    </row>
    <row r="225" ht="14.25" customHeight="1">
      <c r="B225" s="22"/>
      <c r="C225" s="57">
        <v>10515.0</v>
      </c>
      <c r="D225" s="15" t="s">
        <v>371</v>
      </c>
      <c r="E225" s="15">
        <v>1.0</v>
      </c>
      <c r="F225" s="15"/>
      <c r="G225" s="15"/>
      <c r="H225" s="15">
        <v>2500.0</v>
      </c>
      <c r="I225" s="5"/>
      <c r="J225" s="15" t="s">
        <v>405</v>
      </c>
      <c r="K225" s="5"/>
      <c r="L225" s="15" t="s">
        <v>196</v>
      </c>
    </row>
    <row r="226" ht="14.25" customHeight="1">
      <c r="B226" s="22"/>
      <c r="C226" s="57">
        <v>10611.0</v>
      </c>
      <c r="D226" s="15" t="s">
        <v>371</v>
      </c>
      <c r="E226" s="15">
        <v>1.0</v>
      </c>
      <c r="F226" s="15"/>
      <c r="G226" s="15"/>
      <c r="H226" s="15">
        <v>2500.0</v>
      </c>
      <c r="I226" s="5"/>
      <c r="J226" s="15" t="s">
        <v>407</v>
      </c>
      <c r="K226" s="5"/>
      <c r="L226" s="15" t="s">
        <v>408</v>
      </c>
    </row>
    <row r="227" ht="14.25" customHeight="1">
      <c r="B227" s="22"/>
      <c r="C227" s="57">
        <v>10507.0</v>
      </c>
      <c r="D227" s="15" t="s">
        <v>371</v>
      </c>
      <c r="E227" s="15">
        <v>1.0</v>
      </c>
      <c r="F227" s="15"/>
      <c r="G227" s="15"/>
      <c r="H227" s="15">
        <v>2300.0</v>
      </c>
      <c r="I227" s="5"/>
      <c r="J227" s="5"/>
      <c r="K227" s="5"/>
      <c r="L227" s="5"/>
    </row>
    <row r="228" ht="14.25" customHeight="1">
      <c r="B228" s="22"/>
      <c r="C228" s="57">
        <v>10623.0</v>
      </c>
      <c r="D228" s="15" t="s">
        <v>371</v>
      </c>
      <c r="E228" s="15">
        <v>1.0</v>
      </c>
      <c r="F228" s="15"/>
      <c r="G228" s="15"/>
      <c r="H228" s="15">
        <v>2700.0</v>
      </c>
      <c r="I228" s="5"/>
      <c r="J228" s="15" t="s">
        <v>387</v>
      </c>
      <c r="K228" s="5"/>
      <c r="L228" s="15" t="s">
        <v>45</v>
      </c>
    </row>
    <row r="229" ht="14.25" customHeight="1">
      <c r="B229" s="22"/>
      <c r="C229" s="22"/>
      <c r="D229" s="15" t="s">
        <v>371</v>
      </c>
      <c r="E229" s="15">
        <v>1.0</v>
      </c>
      <c r="F229" s="5"/>
      <c r="G229" s="15"/>
      <c r="H229" s="15">
        <v>3050.0</v>
      </c>
      <c r="I229" s="5"/>
      <c r="J229" s="15" t="s">
        <v>387</v>
      </c>
      <c r="K229" s="5"/>
      <c r="L229" s="15" t="s">
        <v>45</v>
      </c>
    </row>
    <row r="230" ht="14.25" customHeight="1">
      <c r="B230" s="22"/>
      <c r="C230" s="22"/>
      <c r="D230" s="15" t="s">
        <v>344</v>
      </c>
      <c r="E230" s="15">
        <v>1.0</v>
      </c>
      <c r="F230" s="15"/>
      <c r="G230" s="15"/>
      <c r="H230" s="15">
        <v>800.0</v>
      </c>
      <c r="I230" s="5"/>
      <c r="J230" s="15" t="s">
        <v>409</v>
      </c>
      <c r="K230" s="5"/>
      <c r="L230" s="5"/>
    </row>
    <row r="231" ht="14.25" customHeight="1">
      <c r="B231" s="22"/>
      <c r="C231" s="22"/>
      <c r="D231" s="15" t="s">
        <v>344</v>
      </c>
      <c r="E231" s="15">
        <v>1.0</v>
      </c>
      <c r="F231" s="15"/>
      <c r="G231" s="15"/>
      <c r="H231" s="15">
        <v>800.0</v>
      </c>
      <c r="I231" s="5"/>
      <c r="J231" s="15" t="s">
        <v>410</v>
      </c>
      <c r="K231" s="5"/>
      <c r="L231" s="15" t="s">
        <v>411</v>
      </c>
    </row>
    <row r="232" ht="14.25" customHeight="1">
      <c r="B232" s="22"/>
      <c r="C232" s="22"/>
      <c r="D232" s="15" t="s">
        <v>344</v>
      </c>
      <c r="E232" s="15">
        <v>1.0</v>
      </c>
      <c r="F232" s="15"/>
      <c r="G232" s="15"/>
      <c r="H232" s="15">
        <v>800.0</v>
      </c>
      <c r="I232" s="5"/>
      <c r="J232" s="15" t="s">
        <v>410</v>
      </c>
      <c r="K232" s="5"/>
      <c r="L232" s="15" t="s">
        <v>411</v>
      </c>
    </row>
    <row r="233" ht="14.25" customHeight="1">
      <c r="B233" s="22"/>
      <c r="C233" s="22"/>
      <c r="D233" s="15" t="s">
        <v>344</v>
      </c>
      <c r="E233" s="15">
        <v>1.0</v>
      </c>
      <c r="F233" s="15"/>
      <c r="G233" s="15"/>
      <c r="H233" s="15">
        <v>800.0</v>
      </c>
      <c r="I233" s="5"/>
      <c r="J233" s="15" t="s">
        <v>358</v>
      </c>
      <c r="K233" s="5"/>
      <c r="L233" s="15" t="s">
        <v>412</v>
      </c>
    </row>
    <row r="234" ht="14.25" customHeight="1">
      <c r="B234" s="22"/>
      <c r="C234" s="22"/>
      <c r="D234" s="15" t="s">
        <v>344</v>
      </c>
      <c r="E234" s="15">
        <v>1.0</v>
      </c>
      <c r="F234" s="15"/>
      <c r="G234" s="15"/>
      <c r="H234" s="15">
        <v>800.0</v>
      </c>
      <c r="I234" s="5"/>
      <c r="J234" s="5"/>
      <c r="K234" s="5"/>
      <c r="L234" s="5"/>
    </row>
    <row r="235" ht="14.25" customHeight="1">
      <c r="B235" s="22"/>
      <c r="C235" s="22"/>
      <c r="D235" s="15" t="s">
        <v>344</v>
      </c>
      <c r="E235" s="15">
        <v>1.0</v>
      </c>
      <c r="F235" s="15"/>
      <c r="G235" s="15"/>
      <c r="H235" s="15">
        <v>800.0</v>
      </c>
      <c r="J235" s="5"/>
      <c r="K235" s="5"/>
      <c r="L235" s="5"/>
    </row>
    <row r="236" ht="14.25" customHeight="1">
      <c r="B236" s="22"/>
      <c r="C236" s="22"/>
      <c r="D236" s="15" t="s">
        <v>344</v>
      </c>
      <c r="E236" s="15">
        <v>1.0</v>
      </c>
      <c r="F236" s="15"/>
      <c r="G236" s="15"/>
      <c r="H236" s="15">
        <v>800.0</v>
      </c>
      <c r="I236" s="5"/>
      <c r="J236" s="5"/>
      <c r="K236" s="5"/>
      <c r="L236" s="5"/>
    </row>
    <row r="237" ht="14.25" customHeight="1">
      <c r="B237" s="22"/>
      <c r="C237" s="22"/>
      <c r="D237" s="5"/>
      <c r="E237" s="5"/>
      <c r="F237" s="5"/>
      <c r="G237" s="5"/>
      <c r="H237" s="5"/>
      <c r="I237" s="5"/>
      <c r="J237" s="5"/>
      <c r="K237" s="5"/>
      <c r="L237" s="5"/>
      <c r="N237" s="38">
        <v>13.0</v>
      </c>
    </row>
    <row r="238" ht="14.25" customHeight="1">
      <c r="B238" s="22"/>
      <c r="C238" s="22"/>
      <c r="D238" s="15" t="s">
        <v>413</v>
      </c>
      <c r="E238" s="15">
        <v>1.0</v>
      </c>
      <c r="F238" s="5"/>
      <c r="G238" s="5"/>
      <c r="H238" s="15">
        <v>3850.0</v>
      </c>
      <c r="I238" s="5"/>
      <c r="J238" s="5"/>
      <c r="K238" s="5"/>
      <c r="L238" s="5"/>
    </row>
    <row r="239" ht="14.25" customHeight="1">
      <c r="B239" s="22"/>
      <c r="C239" s="22"/>
      <c r="D239" s="5"/>
      <c r="E239" s="5"/>
      <c r="F239" s="5"/>
      <c r="G239" s="5"/>
      <c r="H239" s="5"/>
      <c r="I239" s="5"/>
      <c r="J239" s="5"/>
      <c r="K239" s="5"/>
      <c r="L239" s="5"/>
    </row>
    <row r="240" ht="14.25" customHeight="1">
      <c r="B240" s="22"/>
      <c r="C240" s="22"/>
      <c r="D240" s="5"/>
      <c r="E240" s="5"/>
      <c r="F240" s="5"/>
      <c r="G240" s="5"/>
      <c r="H240" s="5"/>
      <c r="I240" s="5"/>
      <c r="J240" s="5"/>
      <c r="K240" s="5"/>
      <c r="L240" s="5"/>
    </row>
    <row r="241" ht="14.25" customHeight="1">
      <c r="B241" s="6"/>
      <c r="C241" s="6"/>
    </row>
    <row r="242" ht="14.25" customHeight="1">
      <c r="B242" s="6"/>
      <c r="C242" s="6"/>
    </row>
    <row r="243" ht="14.25" customHeight="1">
      <c r="B243" s="6"/>
      <c r="C243" s="6"/>
      <c r="D243" s="153" t="s">
        <v>414</v>
      </c>
    </row>
    <row r="244" ht="14.25" customHeight="1">
      <c r="B244" s="2"/>
      <c r="C244" s="7" t="s">
        <v>2</v>
      </c>
      <c r="D244" s="11" t="s">
        <v>4</v>
      </c>
      <c r="E244" s="11" t="s">
        <v>6</v>
      </c>
      <c r="F244" s="11"/>
      <c r="G244" s="11"/>
      <c r="H244" s="11" t="s">
        <v>26</v>
      </c>
      <c r="I244" s="11" t="s">
        <v>300</v>
      </c>
      <c r="J244" s="11" t="s">
        <v>10</v>
      </c>
      <c r="K244" s="11" t="s">
        <v>9</v>
      </c>
      <c r="L244" s="11" t="s">
        <v>10</v>
      </c>
    </row>
    <row r="245" ht="14.25" customHeight="1">
      <c r="B245" s="22"/>
      <c r="C245" s="57">
        <v>10605.0</v>
      </c>
      <c r="D245" s="15" t="s">
        <v>371</v>
      </c>
      <c r="E245" s="5"/>
      <c r="F245" s="15"/>
      <c r="G245" s="15"/>
      <c r="H245" s="15">
        <v>2850.0</v>
      </c>
      <c r="I245" s="15" t="s">
        <v>48</v>
      </c>
      <c r="J245" s="15" t="s">
        <v>415</v>
      </c>
      <c r="K245" s="5"/>
      <c r="L245" s="5"/>
    </row>
    <row r="246" ht="14.25" customHeight="1">
      <c r="B246" s="22"/>
      <c r="C246" s="57">
        <v>10643.0</v>
      </c>
      <c r="D246" s="15" t="s">
        <v>371</v>
      </c>
      <c r="E246" s="5"/>
      <c r="F246" s="15"/>
      <c r="G246" s="15"/>
      <c r="H246" s="15">
        <v>2850.0</v>
      </c>
      <c r="I246" s="15" t="s">
        <v>48</v>
      </c>
      <c r="J246" s="15" t="s">
        <v>415</v>
      </c>
      <c r="K246" s="5"/>
      <c r="L246" s="5"/>
    </row>
    <row r="247" ht="14.25" customHeight="1">
      <c r="B247" s="22"/>
      <c r="C247" s="57">
        <v>10643.0</v>
      </c>
      <c r="D247" s="15" t="s">
        <v>371</v>
      </c>
      <c r="E247" s="5"/>
      <c r="F247" s="15"/>
      <c r="G247" s="15"/>
      <c r="H247" s="15">
        <v>2850.0</v>
      </c>
      <c r="I247" s="15" t="s">
        <v>40</v>
      </c>
      <c r="J247" s="15" t="s">
        <v>417</v>
      </c>
      <c r="K247" s="5"/>
      <c r="L247" s="5"/>
    </row>
    <row r="248" ht="14.25" customHeight="1">
      <c r="B248" s="57">
        <v>1.0</v>
      </c>
      <c r="C248" s="57">
        <v>10518.0</v>
      </c>
      <c r="D248" s="15" t="s">
        <v>371</v>
      </c>
      <c r="E248" s="5"/>
      <c r="F248" s="15"/>
      <c r="G248" s="15"/>
      <c r="H248" s="15">
        <v>2300.0</v>
      </c>
      <c r="I248" s="5"/>
      <c r="J248" s="39" t="s">
        <v>420</v>
      </c>
      <c r="K248" s="5"/>
      <c r="L248" s="15" t="s">
        <v>422</v>
      </c>
    </row>
    <row r="249" ht="14.25" customHeight="1">
      <c r="B249" s="22"/>
      <c r="C249" s="57">
        <v>10647.0</v>
      </c>
      <c r="D249" s="15" t="s">
        <v>371</v>
      </c>
      <c r="E249" s="5"/>
      <c r="F249" s="15"/>
      <c r="G249" s="15"/>
      <c r="H249" s="15">
        <v>3950.0</v>
      </c>
      <c r="I249" s="5"/>
      <c r="J249" s="15" t="s">
        <v>415</v>
      </c>
      <c r="K249" s="5"/>
      <c r="L249" s="5"/>
    </row>
    <row r="250" ht="14.25" customHeight="1">
      <c r="B250" s="57">
        <v>1.0</v>
      </c>
      <c r="C250" s="57">
        <v>10608.0</v>
      </c>
      <c r="D250" s="15" t="s">
        <v>371</v>
      </c>
      <c r="E250" s="5"/>
      <c r="F250" s="15"/>
      <c r="G250" s="15"/>
      <c r="H250" s="15">
        <v>3350.0</v>
      </c>
      <c r="I250" s="5"/>
      <c r="J250" s="5"/>
      <c r="K250" s="5"/>
      <c r="L250" s="5"/>
    </row>
    <row r="251" ht="14.25" customHeight="1">
      <c r="B251" s="57">
        <v>1.0</v>
      </c>
      <c r="C251" s="57">
        <v>50503.0</v>
      </c>
      <c r="D251" s="15" t="s">
        <v>371</v>
      </c>
      <c r="E251" s="5"/>
      <c r="F251" s="15"/>
      <c r="G251" s="15"/>
      <c r="H251" s="15">
        <v>2950.0</v>
      </c>
      <c r="I251" s="5"/>
      <c r="J251" s="5"/>
      <c r="K251" s="5"/>
      <c r="L251" s="5"/>
    </row>
    <row r="252" ht="14.25" customHeight="1">
      <c r="B252" s="22"/>
      <c r="C252" s="57">
        <v>10604.0</v>
      </c>
      <c r="D252" s="15" t="s">
        <v>371</v>
      </c>
      <c r="E252" s="5"/>
      <c r="F252" s="15"/>
      <c r="G252" s="15"/>
      <c r="H252" s="15">
        <v>2650.0</v>
      </c>
      <c r="I252" s="15" t="s">
        <v>48</v>
      </c>
      <c r="J252" s="15" t="s">
        <v>415</v>
      </c>
      <c r="K252" s="5"/>
      <c r="L252" s="5"/>
    </row>
    <row r="253" ht="14.25" customHeight="1">
      <c r="B253" s="57">
        <v>1.0</v>
      </c>
      <c r="C253" s="57">
        <v>20528.0</v>
      </c>
      <c r="D253" s="15" t="s">
        <v>371</v>
      </c>
      <c r="E253" s="5"/>
      <c r="F253" s="15"/>
      <c r="G253" s="15"/>
      <c r="H253" s="15">
        <v>2650.0</v>
      </c>
      <c r="I253" s="5"/>
      <c r="J253" s="15" t="s">
        <v>423</v>
      </c>
      <c r="K253" s="5"/>
      <c r="L253" s="5"/>
    </row>
    <row r="254" ht="14.25" customHeight="1">
      <c r="B254" s="57">
        <v>1.0</v>
      </c>
      <c r="C254" s="57">
        <v>20528.0</v>
      </c>
      <c r="D254" s="15" t="s">
        <v>371</v>
      </c>
      <c r="E254" s="5"/>
      <c r="F254" s="15"/>
      <c r="G254" s="15"/>
      <c r="H254" s="15">
        <v>2650.0</v>
      </c>
      <c r="I254" s="5"/>
      <c r="J254" s="5"/>
      <c r="K254" s="5"/>
      <c r="L254" s="5"/>
    </row>
    <row r="255" ht="14.25" customHeight="1">
      <c r="B255" s="57">
        <v>1.0</v>
      </c>
      <c r="C255" s="57">
        <v>10630.0</v>
      </c>
      <c r="D255" s="15" t="s">
        <v>371</v>
      </c>
      <c r="E255" s="5"/>
      <c r="F255" s="15"/>
      <c r="G255" s="15"/>
      <c r="H255" s="15">
        <v>3050.0</v>
      </c>
      <c r="I255" s="15" t="s">
        <v>424</v>
      </c>
      <c r="J255" s="5"/>
      <c r="K255" s="5"/>
      <c r="L255" s="5"/>
    </row>
    <row r="256" ht="14.25" customHeight="1">
      <c r="B256" s="57">
        <v>1.0</v>
      </c>
      <c r="C256" s="57">
        <v>10507.0</v>
      </c>
      <c r="D256" s="15" t="s">
        <v>371</v>
      </c>
      <c r="E256" s="5"/>
      <c r="F256" s="15"/>
      <c r="G256" s="15"/>
      <c r="H256" s="15">
        <v>2650.0</v>
      </c>
      <c r="I256" s="15" t="s">
        <v>48</v>
      </c>
      <c r="J256" s="15" t="s">
        <v>425</v>
      </c>
      <c r="K256" s="5"/>
      <c r="L256" s="5"/>
    </row>
    <row r="257" ht="14.25" customHeight="1">
      <c r="B257" s="57">
        <v>1.0</v>
      </c>
      <c r="C257" s="57">
        <v>10515.0</v>
      </c>
      <c r="D257" s="15" t="s">
        <v>371</v>
      </c>
      <c r="E257" s="5"/>
      <c r="F257" s="15"/>
      <c r="G257" s="15"/>
      <c r="H257" s="15">
        <v>2750.0</v>
      </c>
      <c r="I257" s="5"/>
      <c r="J257" s="5"/>
      <c r="K257" s="5"/>
      <c r="L257" s="5"/>
    </row>
    <row r="258" ht="14.25" customHeight="1">
      <c r="B258" s="22"/>
      <c r="C258" s="57">
        <v>10607.0</v>
      </c>
      <c r="D258" s="15" t="s">
        <v>371</v>
      </c>
      <c r="E258" s="15"/>
      <c r="F258" s="15"/>
      <c r="G258" s="15"/>
      <c r="H258" s="15">
        <v>2850.0</v>
      </c>
      <c r="I258" s="15"/>
      <c r="J258" s="15" t="s">
        <v>426</v>
      </c>
      <c r="K258" s="5"/>
      <c r="L258" s="5"/>
    </row>
    <row r="259" ht="14.25" customHeight="1">
      <c r="B259" s="57">
        <v>1.0</v>
      </c>
      <c r="C259" s="57">
        <v>40524.0</v>
      </c>
      <c r="D259" s="15" t="s">
        <v>371</v>
      </c>
      <c r="E259" s="5"/>
      <c r="F259" s="15"/>
      <c r="G259" s="15"/>
      <c r="H259" s="15">
        <v>2800.0</v>
      </c>
      <c r="I259" s="5"/>
      <c r="J259" s="5"/>
      <c r="K259" s="5"/>
      <c r="L259" s="5"/>
    </row>
    <row r="260" ht="14.25" customHeight="1">
      <c r="B260" s="22"/>
      <c r="C260" s="57">
        <v>10705.0</v>
      </c>
      <c r="D260" s="15" t="s">
        <v>371</v>
      </c>
      <c r="E260" s="5"/>
      <c r="F260" s="15"/>
      <c r="G260" s="15"/>
      <c r="H260" s="15">
        <v>6350.0</v>
      </c>
      <c r="I260" s="5"/>
      <c r="J260" s="5"/>
      <c r="K260" s="5"/>
      <c r="L260" s="5"/>
    </row>
    <row r="261" ht="14.25" customHeight="1">
      <c r="B261" s="57">
        <v>1.0</v>
      </c>
      <c r="C261" s="57">
        <v>50601.0</v>
      </c>
      <c r="D261" s="15" t="s">
        <v>371</v>
      </c>
      <c r="E261" s="5"/>
      <c r="F261" s="15"/>
      <c r="G261" s="15"/>
      <c r="H261" s="15">
        <v>3900.0</v>
      </c>
      <c r="I261" s="5"/>
      <c r="J261" s="5"/>
      <c r="K261" s="5"/>
      <c r="L261" s="5"/>
    </row>
    <row r="262" ht="14.25" customHeight="1">
      <c r="B262" s="57">
        <v>1.0</v>
      </c>
      <c r="C262" s="57">
        <v>10639.0</v>
      </c>
      <c r="D262" s="15" t="s">
        <v>371</v>
      </c>
      <c r="E262" s="5"/>
      <c r="F262" s="15"/>
      <c r="G262" s="15"/>
      <c r="H262" s="15">
        <v>2850.0</v>
      </c>
      <c r="I262" s="5"/>
      <c r="J262" s="5"/>
      <c r="K262" s="5"/>
      <c r="L262" s="5"/>
    </row>
    <row r="263" ht="14.25" customHeight="1">
      <c r="B263" s="57">
        <v>1.0</v>
      </c>
      <c r="C263" s="57">
        <v>10639.0</v>
      </c>
      <c r="D263" s="15" t="s">
        <v>371</v>
      </c>
      <c r="E263" s="5"/>
      <c r="F263" s="15"/>
      <c r="G263" s="15"/>
      <c r="H263" s="15">
        <v>2850.0</v>
      </c>
      <c r="I263" s="5"/>
      <c r="J263" s="5"/>
      <c r="K263" s="5"/>
      <c r="L263" s="5"/>
    </row>
    <row r="264" ht="14.25" customHeight="1">
      <c r="B264" s="22"/>
      <c r="C264" s="57">
        <v>10639.0</v>
      </c>
      <c r="D264" s="15" t="s">
        <v>371</v>
      </c>
      <c r="E264" s="15"/>
      <c r="F264" s="15"/>
      <c r="G264" s="15"/>
      <c r="H264" s="15">
        <v>2850.0</v>
      </c>
      <c r="I264" s="5"/>
      <c r="J264" s="5"/>
      <c r="K264" s="5"/>
      <c r="L264" s="5"/>
    </row>
    <row r="265" ht="14.25" customHeight="1">
      <c r="B265" s="57">
        <v>1.0</v>
      </c>
      <c r="C265" s="57">
        <v>10635.0</v>
      </c>
      <c r="D265" s="15" t="s">
        <v>371</v>
      </c>
      <c r="E265" s="5"/>
      <c r="F265" s="15"/>
      <c r="G265" s="15"/>
      <c r="H265" s="15">
        <v>3500.0</v>
      </c>
      <c r="I265" s="5"/>
      <c r="J265" s="5"/>
      <c r="K265" s="5"/>
      <c r="L265" s="5"/>
    </row>
    <row r="266" ht="14.25" customHeight="1">
      <c r="B266" s="22"/>
      <c r="I266" s="5"/>
      <c r="J266" s="5"/>
      <c r="K266" s="5"/>
      <c r="L266" s="5"/>
    </row>
    <row r="267" ht="14.25" customHeight="1">
      <c r="B267" s="22"/>
      <c r="C267" s="22"/>
      <c r="D267" s="15" t="s">
        <v>427</v>
      </c>
      <c r="E267" s="15">
        <v>12.0</v>
      </c>
      <c r="F267" s="15">
        <v>900.0</v>
      </c>
      <c r="G267" s="15"/>
      <c r="H267" s="15">
        <v>1100.0</v>
      </c>
      <c r="I267" s="5"/>
      <c r="J267" s="5"/>
      <c r="K267" s="5"/>
      <c r="L267" s="5"/>
    </row>
    <row r="268" ht="13.5" customHeight="1">
      <c r="B268" s="22"/>
      <c r="C268" s="22"/>
      <c r="D268" s="5"/>
      <c r="E268" s="5"/>
      <c r="F268" s="5"/>
      <c r="G268" s="5"/>
      <c r="H268" s="5"/>
      <c r="I268" s="5"/>
      <c r="J268" s="5"/>
      <c r="K268" s="5"/>
      <c r="L268" s="5"/>
    </row>
    <row r="269" ht="14.25" customHeight="1">
      <c r="B269" s="22"/>
      <c r="C269" s="57">
        <v>10705.0</v>
      </c>
      <c r="D269" s="5"/>
      <c r="E269" s="5"/>
      <c r="F269" s="15"/>
      <c r="G269" s="15"/>
      <c r="H269" s="15">
        <v>6350.0</v>
      </c>
      <c r="I269" s="5"/>
      <c r="J269" s="5"/>
      <c r="K269" s="5"/>
      <c r="L269" s="5"/>
    </row>
    <row r="270" ht="14.25" customHeight="1">
      <c r="B270" s="22"/>
      <c r="C270" s="22"/>
      <c r="D270" s="15" t="s">
        <v>428</v>
      </c>
      <c r="E270" s="15">
        <v>3.0</v>
      </c>
      <c r="F270" s="15">
        <v>2817.39</v>
      </c>
      <c r="G270" s="15"/>
      <c r="H270" s="15">
        <v>5500.0</v>
      </c>
      <c r="I270" s="5"/>
      <c r="J270" s="15"/>
      <c r="K270" s="5"/>
      <c r="L270" s="5"/>
    </row>
    <row r="271" ht="14.25" customHeight="1">
      <c r="B271" s="22"/>
      <c r="C271" s="57">
        <v>11103.0</v>
      </c>
      <c r="D271" s="15" t="s">
        <v>362</v>
      </c>
      <c r="E271" s="15">
        <v>2.0</v>
      </c>
      <c r="F271" s="15"/>
      <c r="G271" s="15"/>
      <c r="H271" s="15">
        <v>3150.0</v>
      </c>
      <c r="I271" s="15" t="s">
        <v>48</v>
      </c>
      <c r="J271" s="15" t="s">
        <v>37</v>
      </c>
      <c r="K271" s="5"/>
      <c r="L271" s="5"/>
    </row>
    <row r="272" ht="14.25" customHeight="1">
      <c r="B272" s="22"/>
      <c r="C272" s="22"/>
      <c r="D272" s="15" t="s">
        <v>429</v>
      </c>
      <c r="E272" s="15">
        <v>4.0</v>
      </c>
      <c r="F272" s="15">
        <v>2073.91</v>
      </c>
      <c r="G272" s="5"/>
      <c r="H272" s="5"/>
      <c r="I272" s="5"/>
      <c r="J272" s="5"/>
      <c r="K272" s="5"/>
      <c r="L272" s="5"/>
    </row>
    <row r="273" ht="14.25" customHeight="1">
      <c r="B273" s="22"/>
      <c r="C273" s="57">
        <v>10401.0</v>
      </c>
      <c r="D273" s="15" t="s">
        <v>430</v>
      </c>
      <c r="E273" s="15">
        <v>9.0</v>
      </c>
      <c r="F273" s="15" t="s">
        <v>431</v>
      </c>
      <c r="G273" s="15"/>
      <c r="H273" s="15">
        <v>1850.0</v>
      </c>
      <c r="I273" s="15" t="s">
        <v>432</v>
      </c>
      <c r="J273" s="15" t="s">
        <v>382</v>
      </c>
      <c r="K273" s="5"/>
      <c r="L273" s="5"/>
    </row>
    <row r="274" ht="14.25" customHeight="1">
      <c r="B274" s="22"/>
      <c r="C274" s="57">
        <v>11501.0</v>
      </c>
      <c r="D274" s="15" t="s">
        <v>433</v>
      </c>
      <c r="E274" s="15">
        <v>3.0</v>
      </c>
      <c r="F274" s="15">
        <v>2386.96</v>
      </c>
      <c r="G274" s="5"/>
      <c r="H274" s="5"/>
      <c r="I274" s="5"/>
      <c r="J274" s="5"/>
      <c r="K274" s="5"/>
      <c r="L274" s="5"/>
    </row>
    <row r="275" ht="14.25" customHeight="1">
      <c r="B275" s="22"/>
      <c r="C275" s="22"/>
      <c r="D275" s="5"/>
      <c r="E275" s="5"/>
      <c r="F275" s="5"/>
      <c r="G275" s="5"/>
      <c r="H275" s="5"/>
      <c r="I275" s="5"/>
      <c r="J275" s="5"/>
      <c r="K275" s="5"/>
      <c r="L275" s="5"/>
    </row>
    <row r="276" ht="14.25" customHeight="1">
      <c r="B276" s="22"/>
      <c r="C276" s="22"/>
      <c r="D276" s="15" t="s">
        <v>434</v>
      </c>
      <c r="E276" s="5"/>
      <c r="F276" s="5"/>
      <c r="G276" s="15"/>
      <c r="H276" s="15">
        <v>4000.0</v>
      </c>
      <c r="I276" s="15" t="s">
        <v>45</v>
      </c>
      <c r="J276" s="5"/>
      <c r="K276" s="5"/>
      <c r="L276" s="5"/>
    </row>
    <row r="277" ht="14.25" customHeight="1">
      <c r="B277" s="22"/>
      <c r="C277" s="22"/>
      <c r="D277" s="15" t="s">
        <v>434</v>
      </c>
      <c r="E277" s="5"/>
      <c r="F277" s="5"/>
      <c r="G277" s="15"/>
      <c r="H277" s="15">
        <v>4500.0</v>
      </c>
      <c r="I277" s="15" t="s">
        <v>435</v>
      </c>
      <c r="J277" s="5"/>
      <c r="K277" s="5"/>
      <c r="L277" s="5"/>
    </row>
    <row r="278" ht="14.25" customHeight="1">
      <c r="B278" s="22"/>
      <c r="C278" s="22"/>
      <c r="D278" s="5"/>
      <c r="E278" s="5"/>
      <c r="F278" s="5"/>
      <c r="G278" s="5"/>
      <c r="H278" s="5"/>
      <c r="I278" s="5"/>
      <c r="J278" s="5"/>
      <c r="K278" s="5"/>
      <c r="L278" s="5"/>
    </row>
    <row r="279" ht="14.25" customHeight="1">
      <c r="B279" s="22"/>
      <c r="C279" s="22"/>
      <c r="D279" s="5"/>
      <c r="E279" s="5"/>
      <c r="F279" s="5"/>
      <c r="G279" s="5"/>
      <c r="H279" s="5"/>
      <c r="I279" s="5"/>
      <c r="J279" s="5"/>
      <c r="K279" s="5"/>
      <c r="L279" s="5"/>
    </row>
    <row r="280" ht="14.25" customHeight="1">
      <c r="B280" s="22"/>
      <c r="C280" s="22"/>
      <c r="D280" s="5"/>
      <c r="E280" s="5"/>
      <c r="F280" s="5"/>
      <c r="G280" s="5"/>
      <c r="H280" s="5"/>
      <c r="I280" s="5"/>
      <c r="J280" s="5"/>
      <c r="K280" s="5"/>
      <c r="L280" s="5"/>
    </row>
    <row r="281" ht="14.25" customHeight="1">
      <c r="B281" s="6"/>
      <c r="C281" s="6"/>
    </row>
    <row r="282" ht="14.25" customHeight="1">
      <c r="B282" s="6"/>
      <c r="C282" s="156" t="s">
        <v>436</v>
      </c>
      <c r="D282" s="158">
        <v>46206.0</v>
      </c>
    </row>
    <row r="283" ht="14.25" customHeight="1">
      <c r="B283" s="6"/>
      <c r="C283" s="6"/>
    </row>
    <row r="284" ht="14.25" customHeight="1">
      <c r="B284" s="2"/>
      <c r="C284" s="7" t="s">
        <v>2</v>
      </c>
      <c r="D284" s="11" t="s">
        <v>4</v>
      </c>
      <c r="E284" s="11" t="s">
        <v>6</v>
      </c>
      <c r="F284" s="11" t="s">
        <v>7</v>
      </c>
      <c r="G284" s="11"/>
      <c r="H284" s="11" t="s">
        <v>15</v>
      </c>
      <c r="I284" s="11" t="s">
        <v>9</v>
      </c>
      <c r="J284" s="11" t="s">
        <v>10</v>
      </c>
      <c r="K284" s="160" t="s">
        <v>9</v>
      </c>
      <c r="L284" s="160" t="s">
        <v>10</v>
      </c>
      <c r="M284" s="160" t="s">
        <v>9</v>
      </c>
      <c r="N284" s="160" t="s">
        <v>10</v>
      </c>
    </row>
    <row r="285" ht="14.25" customHeight="1">
      <c r="B285" s="69"/>
      <c r="C285" s="161">
        <v>10636.0</v>
      </c>
      <c r="D285" s="29" t="s">
        <v>448</v>
      </c>
      <c r="E285" s="29">
        <v>1.0</v>
      </c>
      <c r="F285" s="29">
        <v>4086.96</v>
      </c>
      <c r="G285" s="29">
        <f t="shared" ref="G285:G293" si="4">E285*F285</f>
        <v>4086.96</v>
      </c>
      <c r="H285" s="29">
        <v>4700.0</v>
      </c>
      <c r="I285" s="18" t="s">
        <v>40</v>
      </c>
      <c r="J285" s="18" t="s">
        <v>464</v>
      </c>
      <c r="K285" s="70"/>
      <c r="L285" s="70"/>
      <c r="M285" s="70"/>
      <c r="N285" s="70"/>
    </row>
    <row r="286" ht="14.25" customHeight="1">
      <c r="B286" s="69"/>
      <c r="C286" s="161">
        <v>10647.0</v>
      </c>
      <c r="D286" s="29" t="s">
        <v>468</v>
      </c>
      <c r="E286" s="29">
        <v>1.0</v>
      </c>
      <c r="F286" s="29">
        <v>4321.74</v>
      </c>
      <c r="G286" s="29">
        <f t="shared" si="4"/>
        <v>4321.74</v>
      </c>
      <c r="H286" s="29">
        <v>4970.0</v>
      </c>
      <c r="I286" s="29" t="s">
        <v>57</v>
      </c>
      <c r="J286" s="29" t="s">
        <v>472</v>
      </c>
      <c r="K286" s="70"/>
      <c r="L286" s="70"/>
      <c r="M286" s="70"/>
      <c r="N286" s="70"/>
    </row>
    <row r="287" ht="14.25" customHeight="1">
      <c r="B287" s="69"/>
      <c r="C287" s="161">
        <v>10639.0</v>
      </c>
      <c r="D287" s="29" t="s">
        <v>474</v>
      </c>
      <c r="E287" s="29">
        <v>1.0</v>
      </c>
      <c r="F287" s="29">
        <v>3113.04</v>
      </c>
      <c r="G287" s="29">
        <f t="shared" si="4"/>
        <v>3113.04</v>
      </c>
      <c r="H287" s="29">
        <v>3580.0</v>
      </c>
      <c r="I287" s="162"/>
      <c r="J287" s="162"/>
      <c r="K287" s="70"/>
      <c r="L287" s="70"/>
      <c r="M287" s="70"/>
      <c r="N287" s="70"/>
    </row>
    <row r="288" ht="14.25" customHeight="1">
      <c r="B288" s="69"/>
      <c r="C288" s="161">
        <v>10617.0</v>
      </c>
      <c r="D288" s="29" t="s">
        <v>477</v>
      </c>
      <c r="E288" s="29">
        <v>1.0</v>
      </c>
      <c r="F288" s="29">
        <v>3113.04</v>
      </c>
      <c r="G288" s="29">
        <f t="shared" si="4"/>
        <v>3113.04</v>
      </c>
      <c r="H288" s="29">
        <v>3580.0</v>
      </c>
      <c r="I288" s="18" t="s">
        <v>478</v>
      </c>
      <c r="J288" s="164" t="s">
        <v>56</v>
      </c>
      <c r="K288" s="70"/>
      <c r="L288" s="70"/>
      <c r="M288" s="70"/>
      <c r="N288" s="70"/>
    </row>
    <row r="289" ht="14.25" customHeight="1">
      <c r="B289" s="69"/>
      <c r="C289" s="161">
        <v>10628.0</v>
      </c>
      <c r="D289" s="29" t="s">
        <v>479</v>
      </c>
      <c r="E289" s="29">
        <v>1.0</v>
      </c>
      <c r="F289" s="29">
        <v>3278.26</v>
      </c>
      <c r="G289" s="29">
        <f t="shared" si="4"/>
        <v>3278.26</v>
      </c>
      <c r="H289" s="29">
        <v>3770.0</v>
      </c>
      <c r="I289" s="162"/>
      <c r="J289" s="162"/>
      <c r="K289" s="70"/>
      <c r="L289" s="70"/>
      <c r="M289" s="70"/>
      <c r="N289" s="70"/>
    </row>
    <row r="290" ht="14.25" customHeight="1">
      <c r="B290" s="69"/>
      <c r="C290" s="161">
        <v>20523.0</v>
      </c>
      <c r="D290" s="29" t="s">
        <v>480</v>
      </c>
      <c r="E290" s="29">
        <v>1.0</v>
      </c>
      <c r="F290" s="29">
        <v>2765.22</v>
      </c>
      <c r="G290" s="29">
        <f t="shared" si="4"/>
        <v>2765.22</v>
      </c>
      <c r="H290" s="29">
        <v>3180.0</v>
      </c>
      <c r="I290" s="29" t="s">
        <v>40</v>
      </c>
      <c r="J290" s="29" t="s">
        <v>90</v>
      </c>
      <c r="K290" s="70"/>
      <c r="L290" s="70"/>
      <c r="M290" s="70"/>
      <c r="N290" s="70"/>
    </row>
    <row r="291" ht="14.25" customHeight="1">
      <c r="B291" s="69"/>
      <c r="C291" s="161">
        <v>10514.0</v>
      </c>
      <c r="D291" s="29" t="s">
        <v>311</v>
      </c>
      <c r="E291" s="29">
        <v>2.0</v>
      </c>
      <c r="F291" s="29">
        <v>1982.61</v>
      </c>
      <c r="G291" s="29">
        <f t="shared" si="4"/>
        <v>3965.22</v>
      </c>
      <c r="H291" s="29">
        <v>2280.0</v>
      </c>
      <c r="I291" s="82" t="s">
        <v>40</v>
      </c>
      <c r="J291" s="82" t="s">
        <v>382</v>
      </c>
      <c r="K291" s="29" t="s">
        <v>40</v>
      </c>
      <c r="L291" s="29" t="s">
        <v>481</v>
      </c>
      <c r="M291" s="70"/>
      <c r="N291" s="70"/>
    </row>
    <row r="292" ht="14.25" customHeight="1">
      <c r="B292" s="69"/>
      <c r="C292" s="161">
        <v>10604.0</v>
      </c>
      <c r="D292" s="29" t="s">
        <v>483</v>
      </c>
      <c r="E292" s="29">
        <v>1.0</v>
      </c>
      <c r="F292" s="29">
        <v>2852.17</v>
      </c>
      <c r="G292" s="29">
        <f t="shared" si="4"/>
        <v>2852.17</v>
      </c>
      <c r="H292" s="29">
        <v>3280.0</v>
      </c>
      <c r="I292" s="70"/>
      <c r="J292" s="70"/>
      <c r="K292" s="70"/>
      <c r="L292" s="70"/>
      <c r="M292" s="70"/>
      <c r="N292" s="70"/>
    </row>
    <row r="293" ht="14.25" customHeight="1">
      <c r="B293" s="69"/>
      <c r="C293" s="161">
        <v>10612.0</v>
      </c>
      <c r="D293" s="29" t="s">
        <v>484</v>
      </c>
      <c r="E293" s="29">
        <v>3.0</v>
      </c>
      <c r="F293" s="29">
        <v>3113.04</v>
      </c>
      <c r="G293" s="29">
        <f t="shared" si="4"/>
        <v>9339.12</v>
      </c>
      <c r="H293" s="29">
        <v>3580.0</v>
      </c>
      <c r="I293" s="18" t="s">
        <v>478</v>
      </c>
      <c r="J293" s="18" t="s">
        <v>37</v>
      </c>
      <c r="K293" s="70"/>
      <c r="L293" s="29" t="s">
        <v>39</v>
      </c>
      <c r="M293" s="29" t="s">
        <v>40</v>
      </c>
      <c r="N293" s="29" t="s">
        <v>39</v>
      </c>
    </row>
    <row r="294" ht="14.25" customHeight="1">
      <c r="B294" s="69"/>
      <c r="C294" s="69"/>
      <c r="D294" s="70"/>
      <c r="E294" s="70"/>
      <c r="F294" s="70"/>
      <c r="G294" s="70"/>
      <c r="H294" s="70"/>
      <c r="I294" s="168"/>
      <c r="J294" s="168"/>
      <c r="K294" s="70"/>
      <c r="L294" s="70"/>
      <c r="M294" s="70"/>
      <c r="N294" s="70"/>
    </row>
    <row r="295" ht="14.25" customHeight="1">
      <c r="B295" s="69"/>
      <c r="C295" s="69"/>
      <c r="D295" s="70"/>
      <c r="E295" s="70"/>
      <c r="F295" s="29" t="s">
        <v>100</v>
      </c>
      <c r="G295" s="70">
        <f>SUM(G285:G293)</f>
        <v>36834.77</v>
      </c>
      <c r="H295" s="70"/>
      <c r="I295" s="168"/>
      <c r="J295" s="168"/>
      <c r="K295" s="70"/>
      <c r="L295" s="70"/>
      <c r="M295" s="70"/>
      <c r="N295" s="70"/>
    </row>
    <row r="296" ht="14.25" customHeight="1">
      <c r="B296" s="69"/>
      <c r="C296" s="69"/>
      <c r="D296" s="70"/>
      <c r="E296" s="70"/>
      <c r="F296" s="70"/>
      <c r="G296" s="70"/>
      <c r="H296" s="70"/>
      <c r="I296" s="168"/>
      <c r="J296" s="168"/>
      <c r="K296" s="70"/>
      <c r="L296" s="70"/>
      <c r="M296" s="70"/>
      <c r="N296" s="70"/>
    </row>
    <row r="297" ht="14.25" customHeight="1">
      <c r="B297" s="69"/>
      <c r="C297" s="69"/>
      <c r="D297" s="70"/>
      <c r="E297" s="70"/>
      <c r="F297" s="70"/>
      <c r="G297" s="70"/>
      <c r="H297" s="70"/>
      <c r="I297" s="168"/>
      <c r="J297" s="168"/>
      <c r="K297" s="70"/>
      <c r="L297" s="70"/>
      <c r="M297" s="70"/>
      <c r="N297" s="70"/>
    </row>
    <row r="298" ht="14.25" customHeight="1">
      <c r="B298" s="69"/>
      <c r="C298" s="69"/>
      <c r="D298" s="70"/>
      <c r="E298" s="70"/>
      <c r="F298" s="70"/>
      <c r="G298" s="70"/>
      <c r="H298" s="70"/>
      <c r="I298" s="168"/>
      <c r="J298" s="168"/>
      <c r="K298" s="70"/>
      <c r="L298" s="70"/>
      <c r="M298" s="70"/>
      <c r="N298" s="70"/>
    </row>
    <row r="299" ht="14.25" customHeight="1">
      <c r="B299" s="69"/>
      <c r="C299" s="69"/>
      <c r="D299" s="70"/>
      <c r="E299" s="70"/>
      <c r="F299" s="70"/>
      <c r="G299" s="70"/>
      <c r="H299" s="70"/>
      <c r="I299" s="168"/>
      <c r="J299" s="168"/>
      <c r="K299" s="70"/>
      <c r="L299" s="70"/>
      <c r="M299" s="70"/>
      <c r="N299" s="70"/>
    </row>
    <row r="300" ht="14.25" customHeight="1">
      <c r="B300" s="69"/>
      <c r="C300" s="69"/>
      <c r="D300" s="70"/>
      <c r="E300" s="70"/>
      <c r="F300" s="70"/>
      <c r="G300" s="70"/>
      <c r="H300" s="70"/>
      <c r="I300" s="168"/>
      <c r="J300" s="168"/>
      <c r="K300" s="70"/>
      <c r="L300" s="70"/>
      <c r="M300" s="70"/>
      <c r="N300" s="70"/>
    </row>
    <row r="301" ht="14.25" customHeight="1">
      <c r="B301" s="49"/>
      <c r="C301" s="49"/>
      <c r="D301" s="40"/>
      <c r="E301" s="40"/>
      <c r="F301" s="40"/>
      <c r="G301" s="40"/>
      <c r="H301" s="40"/>
      <c r="I301" s="40"/>
      <c r="J301" s="40"/>
      <c r="K301" s="40"/>
      <c r="L301" s="40"/>
      <c r="M301" s="40"/>
    </row>
    <row r="302" ht="14.25" customHeight="1">
      <c r="B302" s="49"/>
      <c r="C302" s="156" t="s">
        <v>436</v>
      </c>
      <c r="D302" s="158">
        <v>46179.0</v>
      </c>
      <c r="E302" s="40"/>
      <c r="F302" s="40"/>
      <c r="G302" s="40"/>
      <c r="H302" s="40"/>
      <c r="I302" s="40"/>
      <c r="J302" s="40"/>
      <c r="K302" s="40"/>
      <c r="L302" s="40"/>
      <c r="M302" s="40"/>
      <c r="N302" s="40"/>
    </row>
    <row r="303" ht="14.25" customHeight="1">
      <c r="B303" s="173"/>
      <c r="C303" s="7" t="s">
        <v>2</v>
      </c>
      <c r="D303" s="11" t="s">
        <v>4</v>
      </c>
      <c r="E303" s="11" t="s">
        <v>6</v>
      </c>
      <c r="F303" s="11" t="s">
        <v>7</v>
      </c>
      <c r="G303" s="11"/>
      <c r="H303" s="11" t="s">
        <v>15</v>
      </c>
      <c r="I303" s="11" t="s">
        <v>9</v>
      </c>
      <c r="J303" s="11" t="s">
        <v>10</v>
      </c>
      <c r="K303" s="160" t="s">
        <v>9</v>
      </c>
      <c r="L303" s="160" t="s">
        <v>10</v>
      </c>
      <c r="M303" s="160" t="s">
        <v>9</v>
      </c>
      <c r="N303" s="160" t="s">
        <v>10</v>
      </c>
    </row>
    <row r="304" ht="14.25" customHeight="1">
      <c r="A304" s="40"/>
      <c r="B304" s="161" t="s">
        <v>490</v>
      </c>
      <c r="C304" s="161">
        <v>10609.0</v>
      </c>
      <c r="D304" s="29" t="s">
        <v>491</v>
      </c>
      <c r="E304" s="29">
        <v>1.0</v>
      </c>
      <c r="F304" s="85">
        <v>3263.48</v>
      </c>
      <c r="G304" s="36">
        <f t="shared" ref="G304:G305" si="5">F304*E304</f>
        <v>3263.48</v>
      </c>
      <c r="H304" s="85">
        <v>4170.0</v>
      </c>
      <c r="I304" s="70"/>
      <c r="J304" s="70"/>
      <c r="K304" s="70"/>
      <c r="L304" s="70"/>
      <c r="M304" s="70"/>
      <c r="N304" s="70"/>
      <c r="O304" s="40"/>
      <c r="P304" s="40"/>
      <c r="Q304" s="40"/>
    </row>
    <row r="305" ht="14.25" customHeight="1">
      <c r="A305" s="40"/>
      <c r="B305" s="69"/>
      <c r="C305" s="161">
        <v>10643.0</v>
      </c>
      <c r="D305" s="29" t="s">
        <v>493</v>
      </c>
      <c r="E305" s="29">
        <v>1.0</v>
      </c>
      <c r="F305" s="85">
        <v>3130.43</v>
      </c>
      <c r="G305" s="36">
        <f t="shared" si="5"/>
        <v>3130.43</v>
      </c>
      <c r="H305" s="176" t="s">
        <v>494</v>
      </c>
      <c r="I305" s="179" t="s">
        <v>375</v>
      </c>
      <c r="J305" s="179" t="s">
        <v>44</v>
      </c>
      <c r="K305" s="70"/>
      <c r="L305" s="70"/>
      <c r="M305" s="70"/>
      <c r="N305" s="70"/>
      <c r="O305" s="40"/>
      <c r="P305" s="40"/>
      <c r="Q305" s="40"/>
    </row>
    <row r="306" ht="14.25" customHeight="1">
      <c r="A306" s="40"/>
      <c r="B306" s="69"/>
      <c r="C306" s="161"/>
      <c r="D306" s="29"/>
      <c r="E306" s="29"/>
      <c r="F306" s="85"/>
      <c r="G306" s="36"/>
      <c r="H306" s="36"/>
      <c r="I306" s="70"/>
      <c r="J306" s="70"/>
      <c r="K306" s="70"/>
      <c r="L306" s="70"/>
      <c r="M306" s="70"/>
      <c r="N306" s="70"/>
      <c r="O306" s="40"/>
      <c r="P306" s="40"/>
      <c r="Q306" s="40"/>
    </row>
    <row r="307" ht="14.25" customHeight="1">
      <c r="A307" s="40"/>
      <c r="B307" s="161" t="s">
        <v>500</v>
      </c>
      <c r="C307" s="161">
        <v>50505.0</v>
      </c>
      <c r="D307" s="29" t="s">
        <v>501</v>
      </c>
      <c r="E307" s="29">
        <v>3.0</v>
      </c>
      <c r="F307" s="85">
        <v>2966.09</v>
      </c>
      <c r="G307" s="36">
        <f t="shared" ref="G307:G319" si="6">F307*E307</f>
        <v>8898.27</v>
      </c>
      <c r="H307" s="85">
        <v>3790.0</v>
      </c>
      <c r="I307" s="29" t="s">
        <v>57</v>
      </c>
      <c r="J307" s="29" t="s">
        <v>67</v>
      </c>
      <c r="K307" s="70"/>
      <c r="L307" s="70"/>
      <c r="M307" s="70"/>
      <c r="N307" s="70"/>
      <c r="O307" s="40"/>
      <c r="P307" s="40"/>
      <c r="Q307" s="40"/>
    </row>
    <row r="308" ht="14.25" customHeight="1">
      <c r="A308" s="40"/>
      <c r="B308" s="161" t="s">
        <v>490</v>
      </c>
      <c r="C308" s="161">
        <v>10505.0</v>
      </c>
      <c r="D308" s="29" t="s">
        <v>505</v>
      </c>
      <c r="E308" s="29">
        <v>1.0</v>
      </c>
      <c r="F308" s="85">
        <v>2113.04</v>
      </c>
      <c r="G308" s="36">
        <f t="shared" si="6"/>
        <v>2113.04</v>
      </c>
      <c r="H308" s="85">
        <v>2700.0</v>
      </c>
      <c r="I308" s="70"/>
      <c r="J308" s="29" t="s">
        <v>506</v>
      </c>
      <c r="K308" s="70"/>
      <c r="L308" s="70"/>
      <c r="M308" s="70"/>
      <c r="N308" s="70"/>
      <c r="O308" s="40"/>
      <c r="P308" s="40"/>
      <c r="Q308" s="40"/>
    </row>
    <row r="309" ht="14.25" customHeight="1">
      <c r="A309" s="40"/>
      <c r="B309" s="161" t="s">
        <v>490</v>
      </c>
      <c r="C309" s="161">
        <v>10501.0</v>
      </c>
      <c r="D309" s="29" t="s">
        <v>507</v>
      </c>
      <c r="E309" s="29">
        <v>1.0</v>
      </c>
      <c r="F309" s="85">
        <v>1956.52</v>
      </c>
      <c r="G309" s="36">
        <f t="shared" si="6"/>
        <v>1956.52</v>
      </c>
      <c r="H309" s="85">
        <v>2500.0</v>
      </c>
      <c r="I309" s="29" t="s">
        <v>43</v>
      </c>
      <c r="J309" s="29" t="s">
        <v>508</v>
      </c>
      <c r="K309" s="70"/>
      <c r="L309" s="70"/>
      <c r="M309" s="70"/>
      <c r="N309" s="70"/>
      <c r="O309" s="40"/>
      <c r="P309" s="40"/>
      <c r="Q309" s="40"/>
    </row>
    <row r="310" ht="14.25" customHeight="1">
      <c r="A310" s="40"/>
      <c r="B310" s="161" t="s">
        <v>490</v>
      </c>
      <c r="C310" s="161">
        <v>50602.0</v>
      </c>
      <c r="D310" s="29" t="s">
        <v>509</v>
      </c>
      <c r="E310" s="29">
        <v>1.0</v>
      </c>
      <c r="F310" s="85">
        <v>3983.48</v>
      </c>
      <c r="G310" s="36">
        <f t="shared" si="6"/>
        <v>3983.48</v>
      </c>
      <c r="H310" s="85">
        <v>5090.0</v>
      </c>
      <c r="I310" s="70"/>
      <c r="J310" s="70"/>
      <c r="K310" s="70"/>
      <c r="L310" s="70"/>
      <c r="M310" s="70"/>
      <c r="N310" s="70"/>
      <c r="O310" s="40"/>
      <c r="P310" s="40"/>
      <c r="Q310" s="40"/>
    </row>
    <row r="311" ht="14.25" customHeight="1">
      <c r="A311" s="40"/>
      <c r="B311" s="161" t="s">
        <v>500</v>
      </c>
      <c r="C311" s="161">
        <v>50601.0</v>
      </c>
      <c r="D311" s="29" t="s">
        <v>511</v>
      </c>
      <c r="E311" s="29">
        <v>3.0</v>
      </c>
      <c r="F311" s="85">
        <v>3983.48</v>
      </c>
      <c r="G311" s="36">
        <f t="shared" si="6"/>
        <v>11950.44</v>
      </c>
      <c r="H311" s="85">
        <v>5090.0</v>
      </c>
      <c r="I311" s="29" t="s">
        <v>57</v>
      </c>
      <c r="J311" s="29" t="s">
        <v>67</v>
      </c>
      <c r="K311" s="70"/>
      <c r="L311" s="70"/>
      <c r="M311" s="70"/>
      <c r="N311" s="70"/>
      <c r="O311" s="40"/>
      <c r="P311" s="40"/>
      <c r="Q311" s="40"/>
    </row>
    <row r="312" ht="14.25" customHeight="1">
      <c r="A312" s="40"/>
      <c r="B312" s="161" t="s">
        <v>512</v>
      </c>
      <c r="C312" s="161">
        <v>10604.0</v>
      </c>
      <c r="D312" s="29" t="s">
        <v>513</v>
      </c>
      <c r="E312" s="29">
        <v>2.0</v>
      </c>
      <c r="F312" s="85">
        <v>2566.96</v>
      </c>
      <c r="G312" s="36">
        <f t="shared" si="6"/>
        <v>5133.92</v>
      </c>
      <c r="H312" s="85">
        <v>3280.0</v>
      </c>
      <c r="I312" s="70"/>
      <c r="J312" s="70"/>
      <c r="K312" s="70"/>
      <c r="L312" s="70"/>
      <c r="M312" s="70"/>
      <c r="N312" s="70"/>
      <c r="O312" s="40"/>
      <c r="P312" s="40"/>
      <c r="Q312" s="40"/>
    </row>
    <row r="313" ht="14.25" customHeight="1">
      <c r="A313" s="40"/>
      <c r="B313" s="161" t="s">
        <v>490</v>
      </c>
      <c r="C313" s="161">
        <v>10607.0</v>
      </c>
      <c r="D313" s="29" t="s">
        <v>518</v>
      </c>
      <c r="E313" s="29">
        <v>1.0</v>
      </c>
      <c r="F313" s="85">
        <v>2801.74</v>
      </c>
      <c r="G313" s="36">
        <f t="shared" si="6"/>
        <v>2801.74</v>
      </c>
      <c r="H313" s="85">
        <v>3580.0</v>
      </c>
      <c r="I313" s="70"/>
      <c r="J313" s="70"/>
      <c r="K313" s="70"/>
      <c r="L313" s="70"/>
      <c r="M313" s="70"/>
      <c r="N313" s="70"/>
      <c r="O313" s="40"/>
      <c r="P313" s="40"/>
      <c r="Q313" s="40"/>
    </row>
    <row r="314" ht="14.25" customHeight="1">
      <c r="A314" s="40"/>
      <c r="B314" s="161" t="s">
        <v>490</v>
      </c>
      <c r="C314" s="161">
        <v>30613.0</v>
      </c>
      <c r="D314" s="29" t="s">
        <v>520</v>
      </c>
      <c r="E314" s="29">
        <v>1.0</v>
      </c>
      <c r="F314" s="85">
        <v>3889.57</v>
      </c>
      <c r="G314" s="36">
        <f t="shared" si="6"/>
        <v>3889.57</v>
      </c>
      <c r="H314" s="85">
        <v>4970.0</v>
      </c>
      <c r="I314" s="29" t="s">
        <v>522</v>
      </c>
      <c r="J314" s="29" t="s">
        <v>523</v>
      </c>
      <c r="K314" s="70"/>
      <c r="L314" s="70"/>
      <c r="M314" s="70"/>
      <c r="N314" s="70"/>
      <c r="O314" s="40"/>
      <c r="P314" s="40"/>
      <c r="Q314" s="40"/>
    </row>
    <row r="315" ht="14.25" customHeight="1">
      <c r="A315" s="40"/>
      <c r="B315" s="161" t="s">
        <v>490</v>
      </c>
      <c r="C315" s="161">
        <v>10515.0</v>
      </c>
      <c r="D315" s="29" t="s">
        <v>524</v>
      </c>
      <c r="E315" s="29">
        <v>1.0</v>
      </c>
      <c r="F315" s="85">
        <v>2739.13</v>
      </c>
      <c r="G315" s="36">
        <f t="shared" si="6"/>
        <v>2739.13</v>
      </c>
      <c r="H315" s="85">
        <v>3500.0</v>
      </c>
      <c r="I315" s="70"/>
      <c r="J315" s="70"/>
      <c r="K315" s="70"/>
      <c r="L315" s="70"/>
      <c r="M315" s="70"/>
      <c r="N315" s="70"/>
      <c r="O315" s="40"/>
      <c r="P315" s="40"/>
      <c r="Q315" s="40"/>
    </row>
    <row r="316" ht="14.25" customHeight="1">
      <c r="A316" s="40"/>
      <c r="B316" s="161" t="s">
        <v>500</v>
      </c>
      <c r="C316" s="161">
        <v>10507.0</v>
      </c>
      <c r="D316" s="29" t="s">
        <v>527</v>
      </c>
      <c r="E316" s="29">
        <v>3.0</v>
      </c>
      <c r="F316" s="85">
        <v>2566.96</v>
      </c>
      <c r="G316" s="36">
        <f t="shared" si="6"/>
        <v>7700.88</v>
      </c>
      <c r="H316" s="85">
        <v>3280.0</v>
      </c>
      <c r="I316" s="70"/>
      <c r="J316" s="70"/>
      <c r="K316" s="70"/>
      <c r="L316" s="70"/>
      <c r="M316" s="70"/>
      <c r="N316" s="70"/>
      <c r="O316" s="40"/>
      <c r="P316" s="40"/>
      <c r="Q316" s="40"/>
    </row>
    <row r="317" ht="14.25" customHeight="1">
      <c r="A317" s="40"/>
      <c r="B317" s="161" t="s">
        <v>490</v>
      </c>
      <c r="C317" s="161">
        <v>10643.0</v>
      </c>
      <c r="D317" s="29" t="s">
        <v>493</v>
      </c>
      <c r="E317" s="29">
        <v>1.0</v>
      </c>
      <c r="F317" s="85">
        <v>2801.74</v>
      </c>
      <c r="G317" s="36">
        <f t="shared" si="6"/>
        <v>2801.74</v>
      </c>
      <c r="H317" s="85">
        <v>3580.0</v>
      </c>
      <c r="I317" s="70"/>
      <c r="J317" s="70"/>
      <c r="K317" s="70"/>
      <c r="L317" s="70"/>
      <c r="M317" s="70"/>
      <c r="N317" s="70"/>
      <c r="O317" s="40"/>
      <c r="P317" s="40"/>
      <c r="Q317" s="40"/>
    </row>
    <row r="318" ht="14.25" customHeight="1">
      <c r="A318" s="40"/>
      <c r="B318" s="69"/>
      <c r="C318" s="69"/>
      <c r="D318" s="70"/>
      <c r="E318" s="70"/>
      <c r="F318" s="36"/>
      <c r="G318" s="36">
        <f t="shared" si="6"/>
        <v>0</v>
      </c>
      <c r="H318" s="36"/>
      <c r="I318" s="70"/>
      <c r="J318" s="70"/>
      <c r="K318" s="70"/>
      <c r="L318" s="70"/>
      <c r="M318" s="70"/>
      <c r="N318" s="70"/>
      <c r="O318" s="40"/>
      <c r="P318" s="40"/>
      <c r="Q318" s="40"/>
    </row>
    <row r="319" ht="14.25" customHeight="1">
      <c r="A319" s="40"/>
      <c r="B319" s="69"/>
      <c r="C319" s="69"/>
      <c r="D319" s="41" t="s">
        <v>494</v>
      </c>
      <c r="E319" s="29">
        <v>8.0</v>
      </c>
      <c r="F319" s="85">
        <v>500.0</v>
      </c>
      <c r="G319" s="36">
        <f t="shared" si="6"/>
        <v>4000</v>
      </c>
      <c r="H319" s="85">
        <v>800.0</v>
      </c>
      <c r="I319" s="29"/>
      <c r="J319" s="70"/>
      <c r="K319" s="70"/>
      <c r="L319" s="70"/>
      <c r="M319" s="70"/>
      <c r="N319" s="70"/>
      <c r="O319" s="40"/>
      <c r="P319" s="40"/>
      <c r="Q319" s="40"/>
    </row>
    <row r="320" ht="14.25" customHeight="1">
      <c r="A320" s="40"/>
      <c r="B320" s="69"/>
      <c r="C320" s="69"/>
      <c r="D320" s="70"/>
      <c r="E320" s="70"/>
      <c r="F320" s="70"/>
      <c r="G320" s="36"/>
      <c r="H320" s="36"/>
      <c r="I320" s="70"/>
      <c r="J320" s="70"/>
      <c r="K320" s="70"/>
      <c r="L320" s="70"/>
      <c r="M320" s="70"/>
      <c r="N320" s="70"/>
      <c r="O320" s="40"/>
      <c r="P320" s="40"/>
      <c r="Q320" s="40"/>
    </row>
    <row r="321" ht="14.25" customHeight="1">
      <c r="A321" s="40"/>
      <c r="B321" s="49"/>
      <c r="C321" s="49"/>
      <c r="D321" s="40"/>
      <c r="E321" s="40"/>
      <c r="F321" s="40"/>
      <c r="G321" s="43">
        <f>SUM(G304:G319)</f>
        <v>64362.64</v>
      </c>
      <c r="H321" s="40"/>
      <c r="I321" s="40"/>
      <c r="J321" s="40"/>
      <c r="K321" s="40"/>
      <c r="L321" s="40"/>
      <c r="M321" s="40"/>
      <c r="N321" s="40"/>
      <c r="O321" s="40"/>
      <c r="P321" s="40"/>
      <c r="Q321" s="40"/>
    </row>
    <row r="322" ht="14.25" customHeight="1">
      <c r="A322" s="40"/>
      <c r="B322" s="49"/>
      <c r="C322" s="4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</row>
    <row r="323" ht="14.25" customHeight="1">
      <c r="A323" s="40"/>
      <c r="B323" s="49"/>
      <c r="C323" s="4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</row>
    <row r="324" ht="14.25" customHeight="1">
      <c r="A324" s="40"/>
      <c r="B324" s="49"/>
      <c r="C324" s="156" t="s">
        <v>436</v>
      </c>
      <c r="D324" s="158">
        <v>46248.0</v>
      </c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</row>
    <row r="325" ht="14.25" customHeight="1">
      <c r="A325" s="40"/>
      <c r="B325" s="173"/>
      <c r="C325" s="7" t="s">
        <v>2</v>
      </c>
      <c r="D325" s="11" t="s">
        <v>4</v>
      </c>
      <c r="E325" s="11" t="s">
        <v>6</v>
      </c>
      <c r="F325" s="11" t="s">
        <v>7</v>
      </c>
      <c r="G325" s="11"/>
      <c r="H325" s="11" t="s">
        <v>15</v>
      </c>
      <c r="I325" s="11" t="s">
        <v>9</v>
      </c>
      <c r="J325" s="11" t="s">
        <v>10</v>
      </c>
      <c r="K325" s="160" t="s">
        <v>9</v>
      </c>
      <c r="L325" s="160" t="s">
        <v>10</v>
      </c>
      <c r="M325" s="160" t="s">
        <v>9</v>
      </c>
      <c r="N325" s="160" t="s">
        <v>10</v>
      </c>
      <c r="O325" s="40"/>
      <c r="P325" s="40"/>
      <c r="Q325" s="40"/>
    </row>
    <row r="326" ht="14.25" customHeight="1">
      <c r="A326" s="40"/>
      <c r="B326" s="161" t="s">
        <v>500</v>
      </c>
      <c r="C326" s="161">
        <v>10603.0</v>
      </c>
      <c r="D326" s="29" t="s">
        <v>533</v>
      </c>
      <c r="E326" s="29">
        <v>3.0</v>
      </c>
      <c r="F326" s="29">
        <v>3169.57</v>
      </c>
      <c r="G326" s="70">
        <f>E326*F326</f>
        <v>9508.71</v>
      </c>
      <c r="H326" s="29">
        <v>4050.0</v>
      </c>
      <c r="I326" s="70"/>
      <c r="J326" s="70"/>
      <c r="K326" s="70"/>
      <c r="L326" s="70"/>
      <c r="M326" s="70"/>
      <c r="N326" s="70"/>
      <c r="O326" s="40"/>
      <c r="P326" s="40"/>
      <c r="Q326" s="40"/>
    </row>
    <row r="327" ht="14.25" customHeight="1">
      <c r="A327" s="40"/>
      <c r="B327" s="69"/>
      <c r="C327" s="161">
        <v>10609.0</v>
      </c>
      <c r="D327" s="29" t="s">
        <v>534</v>
      </c>
      <c r="E327" s="29">
        <v>1.0</v>
      </c>
      <c r="F327" s="29">
        <v>3834.78</v>
      </c>
      <c r="G327" s="29">
        <v>3834.78</v>
      </c>
      <c r="H327" s="29">
        <v>4900.0</v>
      </c>
      <c r="I327" s="70"/>
      <c r="J327" s="70"/>
      <c r="K327" s="70"/>
      <c r="L327" s="70"/>
      <c r="M327" s="70"/>
      <c r="N327" s="70"/>
      <c r="O327" s="40"/>
      <c r="P327" s="40"/>
      <c r="Q327" s="40"/>
    </row>
    <row r="328" ht="14.25" customHeight="1">
      <c r="A328" s="40"/>
      <c r="B328" s="69"/>
      <c r="C328" s="161">
        <v>10608.0</v>
      </c>
      <c r="D328" s="29" t="s">
        <v>535</v>
      </c>
      <c r="E328" s="29">
        <v>1.0</v>
      </c>
      <c r="F328" s="29">
        <v>3834.78</v>
      </c>
      <c r="G328" s="29">
        <v>3834.78</v>
      </c>
      <c r="H328" s="29">
        <v>4900.0</v>
      </c>
      <c r="I328" s="70"/>
      <c r="J328" s="70"/>
      <c r="K328" s="70"/>
      <c r="L328" s="70"/>
      <c r="M328" s="70"/>
      <c r="N328" s="70"/>
      <c r="O328" s="40"/>
      <c r="P328" s="40"/>
      <c r="Q328" s="40"/>
    </row>
    <row r="329" ht="14.25" customHeight="1">
      <c r="A329" s="40"/>
      <c r="B329" s="69"/>
      <c r="C329" s="161">
        <v>30519.0</v>
      </c>
      <c r="D329" s="29" t="s">
        <v>536</v>
      </c>
      <c r="E329" s="29">
        <v>1.0</v>
      </c>
      <c r="F329" s="29">
        <v>4500.0</v>
      </c>
      <c r="G329" s="29">
        <v>4500.0</v>
      </c>
      <c r="H329" s="29">
        <v>5750.0</v>
      </c>
      <c r="I329" s="70"/>
      <c r="J329" s="70"/>
      <c r="K329" s="70"/>
      <c r="L329" s="70"/>
      <c r="M329" s="70"/>
      <c r="N329" s="70"/>
      <c r="O329" s="40"/>
      <c r="P329" s="40"/>
      <c r="Q329" s="40"/>
    </row>
    <row r="330" ht="14.25" customHeight="1">
      <c r="A330" s="40"/>
      <c r="B330" s="69"/>
      <c r="C330" s="161">
        <v>50601.0</v>
      </c>
      <c r="D330" s="29" t="s">
        <v>537</v>
      </c>
      <c r="E330" s="29">
        <v>1.0</v>
      </c>
      <c r="F330" s="29">
        <v>5204.35</v>
      </c>
      <c r="G330" s="29">
        <v>5204.35</v>
      </c>
      <c r="H330" s="29">
        <v>6650.0</v>
      </c>
      <c r="I330" s="70"/>
      <c r="J330" s="70"/>
      <c r="K330" s="70"/>
      <c r="L330" s="70"/>
      <c r="M330" s="70"/>
      <c r="N330" s="70"/>
      <c r="O330" s="40"/>
      <c r="P330" s="40"/>
      <c r="Q330" s="40"/>
    </row>
    <row r="331" ht="14.25" customHeight="1">
      <c r="A331" s="40"/>
      <c r="B331" s="69"/>
      <c r="C331" s="161">
        <v>10909.0</v>
      </c>
      <c r="D331" s="29" t="s">
        <v>538</v>
      </c>
      <c r="E331" s="29">
        <v>1.0</v>
      </c>
      <c r="F331" s="29">
        <v>7708.7</v>
      </c>
      <c r="G331" s="29">
        <v>7708.7</v>
      </c>
      <c r="H331" s="29">
        <v>9850.0</v>
      </c>
      <c r="I331" s="70"/>
      <c r="J331" s="70"/>
      <c r="K331" s="70"/>
      <c r="L331" s="70"/>
      <c r="M331" s="70"/>
      <c r="N331" s="70"/>
      <c r="O331" s="40"/>
      <c r="P331" s="40"/>
      <c r="Q331" s="40"/>
    </row>
    <row r="332" ht="14.25" customHeight="1">
      <c r="A332" s="40"/>
      <c r="B332" s="69"/>
      <c r="C332" s="161">
        <v>10906.0</v>
      </c>
      <c r="D332" s="29" t="s">
        <v>540</v>
      </c>
      <c r="E332" s="29">
        <v>1.0</v>
      </c>
      <c r="F332" s="29">
        <v>7708.7</v>
      </c>
      <c r="G332" s="29">
        <v>7708.7</v>
      </c>
      <c r="H332" s="29">
        <v>9850.0</v>
      </c>
      <c r="I332" s="70"/>
      <c r="J332" s="70"/>
      <c r="K332" s="70"/>
      <c r="L332" s="70"/>
      <c r="M332" s="70"/>
      <c r="N332" s="70"/>
      <c r="O332" s="40"/>
      <c r="P332" s="40"/>
      <c r="Q332" s="40"/>
    </row>
    <row r="333" ht="14.25" customHeight="1">
      <c r="A333" s="40"/>
      <c r="B333" s="69"/>
      <c r="C333" s="69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40"/>
      <c r="P333" s="40"/>
      <c r="Q333" s="40"/>
    </row>
    <row r="334" ht="14.25" customHeight="1">
      <c r="A334" s="40"/>
      <c r="B334" s="69"/>
      <c r="C334" s="69"/>
      <c r="D334" s="70"/>
      <c r="E334" s="70"/>
      <c r="F334" s="29" t="s">
        <v>543</v>
      </c>
      <c r="G334" s="70">
        <f>SUM(G326:G332)</f>
        <v>42300.02</v>
      </c>
      <c r="H334" s="70"/>
      <c r="I334" s="70"/>
      <c r="J334" s="70"/>
      <c r="K334" s="70"/>
      <c r="L334" s="70"/>
      <c r="M334" s="70"/>
      <c r="N334" s="70"/>
      <c r="O334" s="40"/>
      <c r="P334" s="40"/>
      <c r="Q334" s="40"/>
    </row>
    <row r="335" ht="14.25" customHeight="1">
      <c r="A335" s="40"/>
      <c r="B335" s="49"/>
      <c r="C335" s="49"/>
      <c r="D335" s="40"/>
      <c r="E335" s="40"/>
      <c r="F335" s="29" t="s">
        <v>547</v>
      </c>
      <c r="G335" s="70">
        <f>G334*15%</f>
        <v>6345.003</v>
      </c>
      <c r="H335" s="40"/>
      <c r="I335" s="40"/>
      <c r="J335" s="40"/>
      <c r="K335" s="40"/>
      <c r="L335" s="40"/>
      <c r="M335" s="40"/>
      <c r="N335" s="40"/>
      <c r="O335" s="40"/>
      <c r="P335" s="40"/>
      <c r="Q335" s="40"/>
    </row>
    <row r="336" ht="14.25" customHeight="1">
      <c r="A336" s="40"/>
      <c r="B336" s="49"/>
      <c r="C336" s="49"/>
      <c r="D336" s="40"/>
      <c r="E336" s="40"/>
      <c r="F336" s="29" t="s">
        <v>551</v>
      </c>
      <c r="G336" s="70">
        <f>G335+G334</f>
        <v>48645.023</v>
      </c>
      <c r="H336" s="40"/>
      <c r="I336" s="40"/>
      <c r="J336" s="40"/>
      <c r="K336" s="40"/>
      <c r="L336" s="40"/>
      <c r="M336" s="40"/>
      <c r="N336" s="40"/>
      <c r="O336" s="40"/>
      <c r="P336" s="40"/>
      <c r="Q336" s="40"/>
    </row>
    <row r="337" ht="14.25" customHeight="1">
      <c r="A337" s="40"/>
      <c r="B337" s="49"/>
      <c r="C337" s="49"/>
      <c r="D337" s="40"/>
      <c r="E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</row>
    <row r="338" ht="14.25" customHeight="1">
      <c r="A338" s="40"/>
      <c r="B338" s="49"/>
      <c r="C338" s="4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</row>
    <row r="339" ht="14.25" customHeight="1">
      <c r="A339" s="40"/>
      <c r="B339" s="49"/>
      <c r="C339" s="4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</row>
    <row r="340" ht="14.25" customHeight="1">
      <c r="A340" s="40"/>
      <c r="B340" s="49"/>
      <c r="C340" s="4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</row>
    <row r="341" ht="14.25" customHeight="1">
      <c r="B341" s="6"/>
      <c r="C341" s="6"/>
    </row>
    <row r="342" ht="14.25" customHeight="1">
      <c r="B342" s="6"/>
      <c r="C342" s="6"/>
    </row>
    <row r="343" ht="14.25" customHeight="1">
      <c r="B343" s="6"/>
      <c r="C343" s="6"/>
    </row>
    <row r="344" ht="14.25" customHeight="1">
      <c r="B344" s="6"/>
      <c r="C344" s="6"/>
    </row>
    <row r="345" ht="14.25" customHeight="1">
      <c r="B345" s="6"/>
      <c r="C345" s="6"/>
    </row>
    <row r="346" ht="14.25" customHeight="1">
      <c r="B346" s="6"/>
      <c r="C346" s="6"/>
    </row>
    <row r="347" ht="14.25" customHeight="1">
      <c r="B347" s="6"/>
      <c r="C347" s="6"/>
    </row>
    <row r="348" ht="14.25" customHeight="1">
      <c r="B348" s="6"/>
      <c r="C348" s="6"/>
    </row>
    <row r="349" ht="14.25" customHeight="1">
      <c r="B349" s="6"/>
      <c r="C349" s="6"/>
    </row>
    <row r="350" ht="14.25" customHeight="1">
      <c r="B350" s="6"/>
      <c r="C350" s="6"/>
    </row>
    <row r="351" ht="14.25" customHeight="1">
      <c r="B351" s="6"/>
      <c r="C351" s="6"/>
    </row>
    <row r="352" ht="14.25" customHeight="1">
      <c r="B352" s="6"/>
      <c r="C352" s="6"/>
    </row>
    <row r="353" ht="14.25" customHeight="1">
      <c r="B353" s="6"/>
      <c r="C353" s="6"/>
    </row>
    <row r="354" ht="14.25" customHeight="1">
      <c r="B354" s="6"/>
      <c r="C354" s="6"/>
    </row>
    <row r="355" ht="14.25" customHeight="1">
      <c r="B355" s="6"/>
      <c r="C355" s="6"/>
    </row>
    <row r="356" ht="14.25" customHeight="1">
      <c r="B356" s="6"/>
      <c r="C356" s="6"/>
    </row>
    <row r="357" ht="14.25" customHeight="1">
      <c r="B357" s="6"/>
      <c r="C357" s="6"/>
    </row>
    <row r="358" ht="14.25" customHeight="1">
      <c r="B358" s="6"/>
      <c r="C358" s="6"/>
    </row>
    <row r="359" ht="14.25" customHeight="1">
      <c r="B359" s="6"/>
      <c r="C359" s="6"/>
    </row>
    <row r="360" ht="14.25" customHeight="1">
      <c r="B360" s="6"/>
      <c r="C360" s="6"/>
    </row>
    <row r="361" ht="14.25" customHeight="1">
      <c r="B361" s="6"/>
      <c r="C361" s="6"/>
    </row>
    <row r="362" ht="14.25" customHeight="1">
      <c r="B362" s="6"/>
      <c r="C362" s="6"/>
    </row>
    <row r="363" ht="14.25" customHeight="1">
      <c r="B363" s="6"/>
      <c r="C363" s="6"/>
    </row>
    <row r="364" ht="14.25" customHeight="1">
      <c r="B364" s="6"/>
      <c r="C364" s="6"/>
    </row>
    <row r="365" ht="14.25" customHeight="1">
      <c r="B365" s="6"/>
      <c r="C365" s="6"/>
    </row>
    <row r="366" ht="14.25" customHeight="1">
      <c r="B366" s="6"/>
      <c r="C366" s="6"/>
    </row>
    <row r="367" ht="14.25" customHeight="1">
      <c r="B367" s="6"/>
      <c r="C367" s="6"/>
    </row>
    <row r="368" ht="14.25" customHeight="1">
      <c r="B368" s="6"/>
      <c r="C368" s="6"/>
    </row>
    <row r="369" ht="14.25" customHeight="1">
      <c r="B369" s="6"/>
      <c r="C369" s="6"/>
    </row>
    <row r="370" ht="14.25" customHeight="1">
      <c r="B370" s="6"/>
      <c r="C370" s="6"/>
    </row>
    <row r="371" ht="14.25" customHeight="1">
      <c r="B371" s="6"/>
      <c r="C371" s="6"/>
    </row>
    <row r="372" ht="14.25" customHeight="1">
      <c r="B372" s="6"/>
      <c r="C372" s="6"/>
    </row>
    <row r="373" ht="14.25" customHeight="1">
      <c r="B373" s="6"/>
      <c r="C373" s="6"/>
    </row>
    <row r="374" ht="14.25" customHeight="1">
      <c r="B374" s="6"/>
      <c r="C374" s="6"/>
    </row>
    <row r="375" ht="14.25" customHeight="1">
      <c r="B375" s="6"/>
      <c r="C375" s="6"/>
    </row>
    <row r="376" ht="14.25" customHeight="1">
      <c r="B376" s="6"/>
      <c r="C376" s="6"/>
    </row>
    <row r="377" ht="14.25" customHeight="1">
      <c r="B377" s="6"/>
      <c r="C377" s="6"/>
    </row>
    <row r="378" ht="14.25" customHeight="1">
      <c r="B378" s="6"/>
      <c r="C378" s="6"/>
    </row>
    <row r="379" ht="14.25" customHeight="1">
      <c r="B379" s="6"/>
      <c r="C379" s="6"/>
    </row>
    <row r="380" ht="14.25" customHeight="1">
      <c r="B380" s="6"/>
      <c r="C380" s="6"/>
    </row>
    <row r="381" ht="14.25" customHeight="1">
      <c r="B381" s="6"/>
      <c r="C381" s="6"/>
    </row>
    <row r="382" ht="14.25" customHeight="1">
      <c r="B382" s="6"/>
      <c r="C382" s="6"/>
    </row>
    <row r="383" ht="14.25" customHeight="1">
      <c r="B383" s="6"/>
      <c r="C383" s="6"/>
    </row>
    <row r="384" ht="14.25" customHeight="1">
      <c r="B384" s="6"/>
      <c r="C384" s="6"/>
    </row>
    <row r="385" ht="14.25" customHeight="1">
      <c r="B385" s="6"/>
      <c r="C385" s="6"/>
    </row>
    <row r="386" ht="14.25" customHeight="1">
      <c r="B386" s="6"/>
      <c r="C386" s="6"/>
    </row>
    <row r="387" ht="14.25" customHeight="1">
      <c r="B387" s="6"/>
      <c r="C387" s="6"/>
    </row>
    <row r="388" ht="14.25" customHeight="1">
      <c r="B388" s="6"/>
      <c r="C388" s="6"/>
    </row>
    <row r="389" ht="14.25" customHeight="1">
      <c r="B389" s="6"/>
      <c r="C389" s="6"/>
    </row>
    <row r="390" ht="14.25" customHeight="1">
      <c r="B390" s="6"/>
      <c r="C390" s="6"/>
    </row>
    <row r="391" ht="14.25" customHeight="1">
      <c r="B391" s="6"/>
      <c r="C391" s="6"/>
    </row>
    <row r="392" ht="14.25" customHeight="1">
      <c r="B392" s="6"/>
      <c r="C392" s="6"/>
    </row>
    <row r="393" ht="14.25" customHeight="1">
      <c r="B393" s="6"/>
      <c r="C393" s="6"/>
    </row>
    <row r="394" ht="14.25" customHeight="1">
      <c r="B394" s="6"/>
      <c r="C394" s="6"/>
    </row>
    <row r="395" ht="14.25" customHeight="1">
      <c r="B395" s="6"/>
      <c r="C395" s="6"/>
    </row>
    <row r="396" ht="14.25" customHeight="1">
      <c r="B396" s="6"/>
      <c r="C396" s="6"/>
    </row>
    <row r="397" ht="14.25" customHeight="1">
      <c r="B397" s="6"/>
      <c r="C397" s="6"/>
    </row>
    <row r="398" ht="14.25" customHeight="1">
      <c r="B398" s="6"/>
      <c r="C398" s="6"/>
    </row>
    <row r="399" ht="14.25" customHeight="1">
      <c r="B399" s="6"/>
      <c r="C399" s="6"/>
    </row>
    <row r="400" ht="14.25" customHeight="1">
      <c r="B400" s="6"/>
      <c r="C400" s="6"/>
    </row>
    <row r="401" ht="14.25" customHeight="1">
      <c r="B401" s="6"/>
      <c r="C401" s="6"/>
    </row>
    <row r="402" ht="14.25" customHeight="1">
      <c r="B402" s="6"/>
      <c r="C402" s="6"/>
    </row>
    <row r="403" ht="14.25" customHeight="1">
      <c r="B403" s="6"/>
      <c r="C403" s="6"/>
    </row>
    <row r="404" ht="14.25" customHeight="1">
      <c r="B404" s="6"/>
      <c r="C404" s="6"/>
    </row>
    <row r="405" ht="14.25" customHeight="1">
      <c r="B405" s="6"/>
      <c r="C405" s="6"/>
    </row>
    <row r="406" ht="14.25" customHeight="1">
      <c r="B406" s="6"/>
      <c r="C406" s="6"/>
    </row>
    <row r="407" ht="14.25" customHeight="1">
      <c r="B407" s="6"/>
      <c r="C407" s="6"/>
    </row>
    <row r="408" ht="14.25" customHeight="1">
      <c r="B408" s="6"/>
      <c r="C408" s="6"/>
    </row>
    <row r="409" ht="14.25" customHeight="1">
      <c r="B409" s="6"/>
      <c r="C409" s="6"/>
    </row>
    <row r="410" ht="14.25" customHeight="1">
      <c r="B410" s="6"/>
      <c r="C410" s="6"/>
    </row>
    <row r="411" ht="14.25" customHeight="1">
      <c r="B411" s="6"/>
      <c r="C411" s="6"/>
    </row>
    <row r="412" ht="14.25" customHeight="1">
      <c r="B412" s="6"/>
      <c r="C412" s="6"/>
    </row>
    <row r="413" ht="14.25" customHeight="1">
      <c r="B413" s="6"/>
      <c r="C413" s="6"/>
    </row>
    <row r="414" ht="14.25" customHeight="1">
      <c r="B414" s="6"/>
      <c r="C414" s="6"/>
    </row>
    <row r="415" ht="14.25" customHeight="1">
      <c r="B415" s="6"/>
      <c r="C415" s="6"/>
    </row>
    <row r="416" ht="14.25" customHeight="1">
      <c r="B416" s="6"/>
      <c r="C416" s="6"/>
    </row>
    <row r="417" ht="14.25" customHeight="1">
      <c r="B417" s="6"/>
      <c r="C417" s="6"/>
    </row>
    <row r="418" ht="14.25" customHeight="1">
      <c r="B418" s="6"/>
      <c r="C418" s="6"/>
    </row>
    <row r="419" ht="14.25" customHeight="1">
      <c r="B419" s="6"/>
      <c r="C419" s="6"/>
    </row>
    <row r="420" ht="14.25" customHeight="1">
      <c r="B420" s="6"/>
      <c r="C420" s="6"/>
    </row>
    <row r="421" ht="14.25" customHeight="1">
      <c r="B421" s="6"/>
      <c r="C421" s="6"/>
    </row>
    <row r="422" ht="14.25" customHeight="1">
      <c r="B422" s="6"/>
      <c r="C422" s="6"/>
    </row>
    <row r="423" ht="14.25" customHeight="1">
      <c r="B423" s="6"/>
      <c r="C423" s="6"/>
    </row>
    <row r="424" ht="14.25" customHeight="1">
      <c r="B424" s="6"/>
      <c r="C424" s="6"/>
    </row>
    <row r="425" ht="14.25" customHeight="1">
      <c r="B425" s="6"/>
      <c r="C425" s="6"/>
    </row>
    <row r="426" ht="14.25" customHeight="1">
      <c r="B426" s="6"/>
      <c r="C426" s="6"/>
    </row>
    <row r="427" ht="14.25" customHeight="1">
      <c r="B427" s="6"/>
      <c r="C427" s="6"/>
    </row>
    <row r="428" ht="14.25" customHeight="1">
      <c r="B428" s="6"/>
      <c r="C428" s="6"/>
    </row>
    <row r="429" ht="14.25" customHeight="1">
      <c r="B429" s="6"/>
      <c r="C429" s="6"/>
    </row>
    <row r="430" ht="14.25" customHeight="1">
      <c r="B430" s="6"/>
      <c r="C430" s="6"/>
    </row>
    <row r="431" ht="14.25" customHeight="1">
      <c r="B431" s="6"/>
      <c r="C431" s="6"/>
    </row>
    <row r="432" ht="14.25" customHeight="1">
      <c r="B432" s="6"/>
      <c r="C432" s="6"/>
    </row>
    <row r="433" ht="14.25" customHeight="1">
      <c r="B433" s="6"/>
      <c r="C433" s="6"/>
    </row>
    <row r="434" ht="14.25" customHeight="1">
      <c r="B434" s="6"/>
      <c r="C434" s="6"/>
    </row>
    <row r="435" ht="14.25" customHeight="1">
      <c r="B435" s="6"/>
      <c r="C435" s="6"/>
    </row>
    <row r="436" ht="14.25" customHeight="1">
      <c r="B436" s="6"/>
      <c r="C436" s="6"/>
    </row>
    <row r="437" ht="14.25" customHeight="1">
      <c r="B437" s="6"/>
      <c r="C437" s="6"/>
    </row>
    <row r="438" ht="14.25" customHeight="1">
      <c r="B438" s="6"/>
      <c r="C438" s="6"/>
    </row>
    <row r="439" ht="14.25" customHeight="1">
      <c r="B439" s="6"/>
      <c r="C439" s="6"/>
    </row>
    <row r="440" ht="14.25" customHeight="1">
      <c r="B440" s="6"/>
      <c r="C440" s="6"/>
    </row>
    <row r="441" ht="14.25" customHeight="1">
      <c r="B441" s="6"/>
      <c r="C441" s="6"/>
    </row>
    <row r="442" ht="14.25" customHeight="1">
      <c r="B442" s="6"/>
      <c r="C442" s="6"/>
    </row>
    <row r="443" ht="14.25" customHeight="1">
      <c r="B443" s="6"/>
      <c r="C443" s="6"/>
    </row>
    <row r="444" ht="14.25" customHeight="1">
      <c r="B444" s="6"/>
      <c r="C444" s="6"/>
    </row>
    <row r="445" ht="14.25" customHeight="1">
      <c r="B445" s="6"/>
      <c r="C445" s="6"/>
    </row>
    <row r="446" ht="14.25" customHeight="1">
      <c r="B446" s="6"/>
      <c r="C446" s="6"/>
    </row>
    <row r="447" ht="14.25" customHeight="1">
      <c r="B447" s="6"/>
      <c r="C447" s="6"/>
    </row>
    <row r="448" ht="14.25" customHeight="1">
      <c r="B448" s="6"/>
      <c r="C448" s="6"/>
    </row>
    <row r="449" ht="14.25" customHeight="1">
      <c r="B449" s="6"/>
      <c r="C449" s="6"/>
    </row>
    <row r="450" ht="14.25" customHeight="1">
      <c r="B450" s="6"/>
      <c r="C450" s="6"/>
    </row>
    <row r="451" ht="14.25" customHeight="1">
      <c r="B451" s="6"/>
      <c r="C451" s="6"/>
    </row>
    <row r="452" ht="14.25" customHeight="1">
      <c r="B452" s="6"/>
      <c r="C452" s="6"/>
    </row>
    <row r="453" ht="14.25" customHeight="1">
      <c r="B453" s="6"/>
      <c r="C453" s="6"/>
    </row>
    <row r="454" ht="14.25" customHeight="1">
      <c r="B454" s="6"/>
      <c r="C454" s="6"/>
    </row>
    <row r="455" ht="14.25" customHeight="1">
      <c r="B455" s="6"/>
      <c r="C455" s="6"/>
    </row>
    <row r="456" ht="14.25" customHeight="1">
      <c r="B456" s="6"/>
      <c r="C456" s="6"/>
    </row>
    <row r="457" ht="14.25" customHeight="1">
      <c r="B457" s="6"/>
      <c r="C457" s="6"/>
    </row>
    <row r="458" ht="14.25" customHeight="1">
      <c r="B458" s="6"/>
      <c r="C458" s="6"/>
    </row>
    <row r="459" ht="14.25" customHeight="1">
      <c r="B459" s="6"/>
      <c r="C459" s="6"/>
    </row>
    <row r="460" ht="14.25" customHeight="1">
      <c r="B460" s="6"/>
      <c r="C460" s="6"/>
    </row>
    <row r="461" ht="14.25" customHeight="1">
      <c r="B461" s="6"/>
      <c r="C461" s="6"/>
    </row>
    <row r="462" ht="14.25" customHeight="1">
      <c r="B462" s="6"/>
      <c r="C462" s="6"/>
    </row>
    <row r="463" ht="14.25" customHeight="1">
      <c r="B463" s="6"/>
      <c r="C463" s="6"/>
    </row>
    <row r="464" ht="14.25" customHeight="1">
      <c r="B464" s="6"/>
      <c r="C464" s="6"/>
    </row>
    <row r="465" ht="14.25" customHeight="1">
      <c r="B465" s="6"/>
      <c r="C465" s="6"/>
    </row>
    <row r="466" ht="14.25" customHeight="1">
      <c r="B466" s="6"/>
      <c r="C466" s="6"/>
    </row>
    <row r="467" ht="14.25" customHeight="1">
      <c r="B467" s="6"/>
      <c r="C467" s="6"/>
    </row>
    <row r="468" ht="14.25" customHeight="1">
      <c r="B468" s="6"/>
      <c r="C468" s="6"/>
    </row>
    <row r="469" ht="14.25" customHeight="1">
      <c r="B469" s="6"/>
      <c r="C469" s="6"/>
    </row>
    <row r="470" ht="14.25" customHeight="1">
      <c r="B470" s="6"/>
      <c r="C470" s="6"/>
    </row>
    <row r="471" ht="14.25" customHeight="1">
      <c r="B471" s="6"/>
      <c r="C471" s="6"/>
    </row>
    <row r="472" ht="14.25" customHeight="1">
      <c r="B472" s="6"/>
      <c r="C472" s="6"/>
    </row>
    <row r="473" ht="14.25" customHeight="1">
      <c r="B473" s="6"/>
      <c r="C473" s="6"/>
    </row>
    <row r="474" ht="14.25" customHeight="1">
      <c r="B474" s="6"/>
      <c r="C474" s="6"/>
    </row>
    <row r="475" ht="14.25" customHeight="1">
      <c r="B475" s="6"/>
      <c r="C475" s="6"/>
    </row>
    <row r="476" ht="14.25" customHeight="1">
      <c r="B476" s="6"/>
      <c r="C476" s="6"/>
    </row>
    <row r="477" ht="14.25" customHeight="1">
      <c r="B477" s="6"/>
      <c r="C477" s="6"/>
    </row>
    <row r="478" ht="14.25" customHeight="1">
      <c r="B478" s="6"/>
      <c r="C478" s="6"/>
    </row>
    <row r="479" ht="14.25" customHeight="1">
      <c r="B479" s="6"/>
      <c r="C479" s="6"/>
    </row>
    <row r="480" ht="14.25" customHeight="1">
      <c r="B480" s="6"/>
      <c r="C480" s="6"/>
    </row>
    <row r="481" ht="14.25" customHeight="1">
      <c r="B481" s="6"/>
      <c r="C481" s="6"/>
    </row>
    <row r="482" ht="14.25" customHeight="1">
      <c r="B482" s="6"/>
      <c r="C482" s="6"/>
    </row>
    <row r="483" ht="14.25" customHeight="1">
      <c r="B483" s="6"/>
      <c r="C483" s="6"/>
    </row>
    <row r="484" ht="14.25" customHeight="1">
      <c r="B484" s="6"/>
      <c r="C484" s="6"/>
    </row>
    <row r="485" ht="14.25" customHeight="1">
      <c r="B485" s="6"/>
      <c r="C485" s="6"/>
    </row>
    <row r="486" ht="14.25" customHeight="1">
      <c r="B486" s="6"/>
      <c r="C486" s="6"/>
    </row>
    <row r="487" ht="14.25" customHeight="1">
      <c r="B487" s="6"/>
      <c r="C487" s="6"/>
    </row>
    <row r="488" ht="14.25" customHeight="1">
      <c r="B488" s="6"/>
      <c r="C488" s="6"/>
    </row>
    <row r="489" ht="14.25" customHeight="1">
      <c r="B489" s="6"/>
      <c r="C489" s="6"/>
    </row>
    <row r="490" ht="14.25" customHeight="1">
      <c r="B490" s="6"/>
      <c r="C490" s="6"/>
    </row>
    <row r="491" ht="14.25" customHeight="1">
      <c r="B491" s="6"/>
      <c r="C491" s="6"/>
    </row>
    <row r="492" ht="14.25" customHeight="1">
      <c r="B492" s="6"/>
      <c r="C492" s="6"/>
    </row>
    <row r="493" ht="14.25" customHeight="1">
      <c r="B493" s="6"/>
      <c r="C493" s="6"/>
    </row>
    <row r="494" ht="14.25" customHeight="1">
      <c r="B494" s="6"/>
      <c r="C494" s="6"/>
    </row>
    <row r="495" ht="14.25" customHeight="1">
      <c r="B495" s="6"/>
      <c r="C495" s="6"/>
    </row>
    <row r="496" ht="14.25" customHeight="1">
      <c r="B496" s="6"/>
      <c r="C496" s="6"/>
    </row>
    <row r="497" ht="14.25" customHeight="1">
      <c r="B497" s="6"/>
      <c r="C497" s="6"/>
    </row>
    <row r="498" ht="14.25" customHeight="1">
      <c r="B498" s="6"/>
      <c r="C498" s="6"/>
    </row>
    <row r="499" ht="14.25" customHeight="1">
      <c r="B499" s="6"/>
      <c r="C499" s="6"/>
    </row>
    <row r="500" ht="14.25" customHeight="1">
      <c r="B500" s="6"/>
      <c r="C500" s="6"/>
    </row>
    <row r="501" ht="14.25" customHeight="1">
      <c r="B501" s="6"/>
      <c r="C501" s="6"/>
    </row>
    <row r="502" ht="14.25" customHeight="1">
      <c r="B502" s="6"/>
      <c r="C502" s="6"/>
    </row>
    <row r="503" ht="14.25" customHeight="1">
      <c r="B503" s="6"/>
      <c r="C503" s="6"/>
    </row>
    <row r="504" ht="14.25" customHeight="1">
      <c r="B504" s="6"/>
      <c r="C504" s="6"/>
    </row>
    <row r="505" ht="14.25" customHeight="1">
      <c r="B505" s="6"/>
      <c r="C505" s="6"/>
    </row>
    <row r="506" ht="14.25" customHeight="1">
      <c r="B506" s="6"/>
      <c r="C506" s="6"/>
    </row>
    <row r="507" ht="14.25" customHeight="1">
      <c r="B507" s="6"/>
      <c r="C507" s="6"/>
    </row>
    <row r="508" ht="14.25" customHeight="1">
      <c r="B508" s="6"/>
      <c r="C508" s="6"/>
    </row>
    <row r="509" ht="14.25" customHeight="1">
      <c r="B509" s="6"/>
      <c r="C509" s="6"/>
    </row>
    <row r="510" ht="14.25" customHeight="1">
      <c r="B510" s="6"/>
      <c r="C510" s="6"/>
    </row>
    <row r="511" ht="14.25" customHeight="1">
      <c r="B511" s="6"/>
      <c r="C511" s="6"/>
    </row>
    <row r="512" ht="14.25" customHeight="1">
      <c r="B512" s="6"/>
      <c r="C512" s="6"/>
    </row>
    <row r="513" ht="14.25" customHeight="1">
      <c r="B513" s="6"/>
      <c r="C513" s="6"/>
    </row>
    <row r="514" ht="14.25" customHeight="1">
      <c r="B514" s="6"/>
      <c r="C514" s="6"/>
    </row>
    <row r="515" ht="14.25" customHeight="1">
      <c r="B515" s="6"/>
      <c r="C515" s="6"/>
    </row>
    <row r="516" ht="14.25" customHeight="1">
      <c r="B516" s="6"/>
      <c r="C516" s="6"/>
    </row>
    <row r="517" ht="14.25" customHeight="1">
      <c r="B517" s="6"/>
      <c r="C517" s="6"/>
    </row>
    <row r="518" ht="14.25" customHeight="1">
      <c r="B518" s="6"/>
      <c r="C518" s="6"/>
    </row>
    <row r="519" ht="14.25" customHeight="1">
      <c r="B519" s="6"/>
      <c r="C519" s="6"/>
    </row>
    <row r="520" ht="14.25" customHeight="1">
      <c r="B520" s="6"/>
      <c r="C520" s="6"/>
    </row>
    <row r="521" ht="14.25" customHeight="1">
      <c r="B521" s="6"/>
      <c r="C521" s="6"/>
    </row>
    <row r="522" ht="14.25" customHeight="1">
      <c r="B522" s="6"/>
      <c r="C522" s="6"/>
    </row>
    <row r="523" ht="14.25" customHeight="1">
      <c r="B523" s="6"/>
      <c r="C523" s="6"/>
    </row>
    <row r="524" ht="14.25" customHeight="1">
      <c r="B524" s="6"/>
      <c r="C524" s="6"/>
    </row>
    <row r="525" ht="14.25" customHeight="1">
      <c r="B525" s="6"/>
      <c r="C525" s="6"/>
    </row>
    <row r="526" ht="14.25" customHeight="1">
      <c r="B526" s="6"/>
      <c r="C526" s="6"/>
    </row>
    <row r="527" ht="14.25" customHeight="1">
      <c r="B527" s="6"/>
      <c r="C527" s="6"/>
    </row>
    <row r="528" ht="14.25" customHeight="1">
      <c r="B528" s="6"/>
      <c r="C528" s="6"/>
    </row>
    <row r="529" ht="14.25" customHeight="1">
      <c r="B529" s="6"/>
      <c r="C529" s="6"/>
    </row>
    <row r="530" ht="14.25" customHeight="1">
      <c r="B530" s="6"/>
      <c r="C530" s="6"/>
    </row>
    <row r="531" ht="14.25" customHeight="1">
      <c r="B531" s="6"/>
      <c r="C531" s="6"/>
    </row>
    <row r="532" ht="14.25" customHeight="1">
      <c r="B532" s="6"/>
      <c r="C532" s="6"/>
    </row>
    <row r="533" ht="14.25" customHeight="1">
      <c r="B533" s="6"/>
      <c r="C533" s="6"/>
    </row>
    <row r="534" ht="14.25" customHeight="1">
      <c r="B534" s="6"/>
      <c r="C534" s="6"/>
    </row>
    <row r="535" ht="14.25" customHeight="1">
      <c r="B535" s="6"/>
      <c r="C535" s="6"/>
    </row>
    <row r="536" ht="14.25" customHeight="1">
      <c r="B536" s="6"/>
      <c r="C536" s="6"/>
    </row>
    <row r="537" ht="14.25" customHeight="1">
      <c r="B537" s="6"/>
      <c r="C537" s="6"/>
    </row>
    <row r="538" ht="14.25" customHeight="1">
      <c r="B538" s="6"/>
      <c r="C538" s="6"/>
    </row>
    <row r="539" ht="14.25" customHeight="1">
      <c r="B539" s="6"/>
      <c r="C539" s="6"/>
    </row>
    <row r="540" ht="14.25" customHeight="1">
      <c r="B540" s="6"/>
      <c r="C540" s="6"/>
    </row>
    <row r="541" ht="14.25" customHeight="1">
      <c r="B541" s="6"/>
      <c r="C541" s="6"/>
    </row>
    <row r="542" ht="14.25" customHeight="1">
      <c r="B542" s="6"/>
      <c r="C542" s="6"/>
    </row>
    <row r="543" ht="14.25" customHeight="1">
      <c r="B543" s="6"/>
      <c r="C543" s="6"/>
    </row>
    <row r="544" ht="14.25" customHeight="1">
      <c r="B544" s="6"/>
      <c r="C544" s="6"/>
    </row>
    <row r="545" ht="14.25" customHeight="1">
      <c r="B545" s="6"/>
      <c r="C545" s="6"/>
    </row>
    <row r="546" ht="14.25" customHeight="1">
      <c r="B546" s="6"/>
      <c r="C546" s="6"/>
    </row>
    <row r="547" ht="14.25" customHeight="1">
      <c r="B547" s="6"/>
      <c r="C547" s="6"/>
    </row>
    <row r="548" ht="14.25" customHeight="1">
      <c r="B548" s="6"/>
      <c r="C548" s="6"/>
    </row>
    <row r="549" ht="14.25" customHeight="1">
      <c r="B549" s="6"/>
      <c r="C549" s="6"/>
    </row>
    <row r="550" ht="14.25" customHeight="1">
      <c r="B550" s="6"/>
      <c r="C550" s="6"/>
    </row>
    <row r="551" ht="14.25" customHeight="1">
      <c r="B551" s="6"/>
      <c r="C551" s="6"/>
    </row>
    <row r="552" ht="14.25" customHeight="1">
      <c r="B552" s="6"/>
      <c r="C552" s="6"/>
    </row>
    <row r="553" ht="14.25" customHeight="1">
      <c r="B553" s="6"/>
      <c r="C553" s="6"/>
    </row>
    <row r="554" ht="14.25" customHeight="1">
      <c r="B554" s="6"/>
      <c r="C554" s="6"/>
    </row>
    <row r="555" ht="14.25" customHeight="1">
      <c r="B555" s="6"/>
      <c r="C555" s="6"/>
    </row>
    <row r="556" ht="14.25" customHeight="1">
      <c r="B556" s="6"/>
      <c r="C556" s="6"/>
    </row>
    <row r="557" ht="14.25" customHeight="1">
      <c r="B557" s="6"/>
      <c r="C557" s="6"/>
    </row>
    <row r="558" ht="14.25" customHeight="1">
      <c r="B558" s="6"/>
      <c r="C558" s="6"/>
    </row>
    <row r="559" ht="14.25" customHeight="1">
      <c r="B559" s="6"/>
      <c r="C559" s="6"/>
    </row>
    <row r="560" ht="14.25" customHeight="1">
      <c r="B560" s="6"/>
      <c r="C560" s="6"/>
    </row>
    <row r="561" ht="14.25" customHeight="1">
      <c r="B561" s="6"/>
      <c r="C561" s="6"/>
    </row>
    <row r="562" ht="14.25" customHeight="1">
      <c r="B562" s="6"/>
      <c r="C562" s="6"/>
    </row>
    <row r="563" ht="14.25" customHeight="1">
      <c r="B563" s="6"/>
      <c r="C563" s="6"/>
    </row>
    <row r="564" ht="14.25" customHeight="1">
      <c r="B564" s="6"/>
      <c r="C564" s="6"/>
    </row>
    <row r="565" ht="14.25" customHeight="1">
      <c r="B565" s="6"/>
      <c r="C565" s="6"/>
    </row>
    <row r="566" ht="14.25" customHeight="1">
      <c r="B566" s="6"/>
      <c r="C566" s="6"/>
    </row>
    <row r="567" ht="14.25" customHeight="1">
      <c r="B567" s="6"/>
      <c r="C567" s="6"/>
    </row>
    <row r="568" ht="14.25" customHeight="1">
      <c r="B568" s="6"/>
      <c r="C568" s="6"/>
    </row>
    <row r="569" ht="14.25" customHeight="1">
      <c r="B569" s="6"/>
      <c r="C569" s="6"/>
    </row>
    <row r="570" ht="14.25" customHeight="1">
      <c r="B570" s="6"/>
      <c r="C570" s="6"/>
    </row>
    <row r="571" ht="14.25" customHeight="1">
      <c r="B571" s="6"/>
      <c r="C571" s="6"/>
    </row>
    <row r="572" ht="14.25" customHeight="1">
      <c r="B572" s="6"/>
      <c r="C572" s="6"/>
    </row>
    <row r="573" ht="14.25" customHeight="1">
      <c r="B573" s="6"/>
      <c r="C573" s="6"/>
    </row>
    <row r="574" ht="14.25" customHeight="1">
      <c r="B574" s="6"/>
      <c r="C574" s="6"/>
    </row>
    <row r="575" ht="14.25" customHeight="1">
      <c r="B575" s="6"/>
      <c r="C575" s="6"/>
    </row>
    <row r="576" ht="14.25" customHeight="1">
      <c r="B576" s="6"/>
      <c r="C576" s="6"/>
    </row>
    <row r="577" ht="14.25" customHeight="1">
      <c r="B577" s="6"/>
      <c r="C577" s="6"/>
    </row>
    <row r="578" ht="14.25" customHeight="1">
      <c r="B578" s="6"/>
      <c r="C578" s="6"/>
    </row>
    <row r="579" ht="14.25" customHeight="1">
      <c r="B579" s="6"/>
      <c r="C579" s="6"/>
    </row>
    <row r="580" ht="14.25" customHeight="1">
      <c r="B580" s="6"/>
      <c r="C580" s="6"/>
    </row>
    <row r="581" ht="14.25" customHeight="1">
      <c r="B581" s="6"/>
      <c r="C581" s="6"/>
    </row>
    <row r="582" ht="14.25" customHeight="1">
      <c r="B582" s="6"/>
      <c r="C582" s="6"/>
    </row>
    <row r="583" ht="14.25" customHeight="1">
      <c r="B583" s="6"/>
      <c r="C583" s="6"/>
    </row>
    <row r="584" ht="14.25" customHeight="1">
      <c r="B584" s="6"/>
      <c r="C584" s="6"/>
    </row>
    <row r="585" ht="14.25" customHeight="1">
      <c r="B585" s="6"/>
      <c r="C585" s="6"/>
    </row>
    <row r="586" ht="14.25" customHeight="1">
      <c r="B586" s="6"/>
      <c r="C586" s="6"/>
    </row>
    <row r="587" ht="14.25" customHeight="1">
      <c r="B587" s="6"/>
      <c r="C587" s="6"/>
    </row>
    <row r="588" ht="14.25" customHeight="1">
      <c r="B588" s="6"/>
      <c r="C588" s="6"/>
    </row>
    <row r="589" ht="14.25" customHeight="1">
      <c r="B589" s="6"/>
      <c r="C589" s="6"/>
    </row>
    <row r="590" ht="14.25" customHeight="1">
      <c r="B590" s="6"/>
      <c r="C590" s="6"/>
    </row>
    <row r="591" ht="14.25" customHeight="1">
      <c r="B591" s="6"/>
      <c r="C591" s="6"/>
    </row>
    <row r="592" ht="14.25" customHeight="1">
      <c r="B592" s="6"/>
      <c r="C592" s="6"/>
    </row>
    <row r="593" ht="14.25" customHeight="1">
      <c r="B593" s="6"/>
      <c r="C593" s="6"/>
    </row>
    <row r="594" ht="14.25" customHeight="1">
      <c r="B594" s="6"/>
      <c r="C594" s="6"/>
    </row>
    <row r="595" ht="14.25" customHeight="1">
      <c r="B595" s="6"/>
      <c r="C595" s="6"/>
    </row>
    <row r="596" ht="14.25" customHeight="1">
      <c r="B596" s="6"/>
      <c r="C596" s="6"/>
    </row>
    <row r="597" ht="14.25" customHeight="1">
      <c r="B597" s="6"/>
      <c r="C597" s="6"/>
    </row>
    <row r="598" ht="14.25" customHeight="1">
      <c r="B598" s="6"/>
      <c r="C598" s="6"/>
    </row>
    <row r="599" ht="14.25" customHeight="1">
      <c r="B599" s="6"/>
      <c r="C599" s="6"/>
    </row>
    <row r="600" ht="14.25" customHeight="1">
      <c r="B600" s="6"/>
      <c r="C600" s="6"/>
    </row>
    <row r="601" ht="14.25" customHeight="1">
      <c r="B601" s="6"/>
      <c r="C601" s="6"/>
    </row>
    <row r="602" ht="14.25" customHeight="1">
      <c r="B602" s="6"/>
      <c r="C602" s="6"/>
    </row>
    <row r="603" ht="14.25" customHeight="1">
      <c r="B603" s="6"/>
      <c r="C603" s="6"/>
    </row>
    <row r="604" ht="14.25" customHeight="1">
      <c r="B604" s="6"/>
      <c r="C604" s="6"/>
    </row>
    <row r="605" ht="14.25" customHeight="1">
      <c r="B605" s="6"/>
      <c r="C605" s="6"/>
    </row>
    <row r="606" ht="14.25" customHeight="1">
      <c r="B606" s="6"/>
      <c r="C606" s="6"/>
    </row>
    <row r="607" ht="14.25" customHeight="1">
      <c r="B607" s="6"/>
      <c r="C607" s="6"/>
    </row>
    <row r="608" ht="14.25" customHeight="1">
      <c r="B608" s="6"/>
      <c r="C608" s="6"/>
    </row>
    <row r="609" ht="14.25" customHeight="1">
      <c r="B609" s="6"/>
      <c r="C609" s="6"/>
    </row>
    <row r="610" ht="14.25" customHeight="1">
      <c r="B610" s="6"/>
      <c r="C610" s="6"/>
    </row>
    <row r="611" ht="14.25" customHeight="1">
      <c r="B611" s="6"/>
      <c r="C611" s="6"/>
    </row>
    <row r="612" ht="14.25" customHeight="1">
      <c r="B612" s="6"/>
      <c r="C612" s="6"/>
    </row>
    <row r="613" ht="14.25" customHeight="1">
      <c r="B613" s="6"/>
      <c r="C613" s="6"/>
    </row>
    <row r="614" ht="14.25" customHeight="1">
      <c r="B614" s="6"/>
      <c r="C614" s="6"/>
    </row>
    <row r="615" ht="14.25" customHeight="1">
      <c r="B615" s="6"/>
      <c r="C615" s="6"/>
    </row>
    <row r="616" ht="14.25" customHeight="1">
      <c r="B616" s="6"/>
      <c r="C616" s="6"/>
    </row>
    <row r="617" ht="14.25" customHeight="1">
      <c r="B617" s="6"/>
      <c r="C617" s="6"/>
    </row>
    <row r="618" ht="14.25" customHeight="1">
      <c r="B618" s="6"/>
      <c r="C618" s="6"/>
    </row>
    <row r="619" ht="14.25" customHeight="1">
      <c r="B619" s="6"/>
      <c r="C619" s="6"/>
    </row>
    <row r="620" ht="14.25" customHeight="1">
      <c r="B620" s="6"/>
      <c r="C620" s="6"/>
    </row>
    <row r="621" ht="14.25" customHeight="1">
      <c r="B621" s="6"/>
      <c r="C621" s="6"/>
    </row>
    <row r="622" ht="14.25" customHeight="1">
      <c r="B622" s="6"/>
      <c r="C622" s="6"/>
    </row>
    <row r="623" ht="14.25" customHeight="1">
      <c r="B623" s="6"/>
      <c r="C623" s="6"/>
    </row>
    <row r="624" ht="14.25" customHeight="1">
      <c r="B624" s="6"/>
      <c r="C624" s="6"/>
    </row>
    <row r="625" ht="14.25" customHeight="1">
      <c r="B625" s="6"/>
      <c r="C625" s="6"/>
    </row>
    <row r="626" ht="14.25" customHeight="1">
      <c r="B626" s="6"/>
      <c r="C626" s="6"/>
    </row>
    <row r="627" ht="14.25" customHeight="1">
      <c r="B627" s="6"/>
      <c r="C627" s="6"/>
    </row>
    <row r="628" ht="14.25" customHeight="1">
      <c r="B628" s="6"/>
      <c r="C628" s="6"/>
    </row>
    <row r="629" ht="14.25" customHeight="1">
      <c r="B629" s="6"/>
      <c r="C629" s="6"/>
    </row>
    <row r="630" ht="14.25" customHeight="1">
      <c r="B630" s="6"/>
      <c r="C630" s="6"/>
    </row>
    <row r="631" ht="14.25" customHeight="1">
      <c r="B631" s="6"/>
      <c r="C631" s="6"/>
    </row>
    <row r="632" ht="14.25" customHeight="1">
      <c r="B632" s="6"/>
      <c r="C632" s="6"/>
    </row>
    <row r="633" ht="14.25" customHeight="1">
      <c r="B633" s="6"/>
      <c r="C633" s="6"/>
    </row>
    <row r="634" ht="14.25" customHeight="1">
      <c r="B634" s="6"/>
      <c r="C634" s="6"/>
    </row>
    <row r="635" ht="14.25" customHeight="1">
      <c r="B635" s="6"/>
      <c r="C635" s="6"/>
    </row>
    <row r="636" ht="14.25" customHeight="1">
      <c r="B636" s="6"/>
      <c r="C636" s="6"/>
    </row>
    <row r="637" ht="14.25" customHeight="1">
      <c r="B637" s="6"/>
      <c r="C637" s="6"/>
    </row>
    <row r="638" ht="14.25" customHeight="1">
      <c r="B638" s="6"/>
      <c r="C638" s="6"/>
    </row>
    <row r="639" ht="14.25" customHeight="1">
      <c r="B639" s="6"/>
      <c r="C639" s="6"/>
    </row>
    <row r="640" ht="14.25" customHeight="1">
      <c r="B640" s="6"/>
      <c r="C640" s="6"/>
    </row>
    <row r="641" ht="14.25" customHeight="1">
      <c r="B641" s="6"/>
      <c r="C641" s="6"/>
    </row>
    <row r="642" ht="14.25" customHeight="1">
      <c r="B642" s="6"/>
      <c r="C642" s="6"/>
    </row>
    <row r="643" ht="14.25" customHeight="1">
      <c r="B643" s="6"/>
      <c r="C643" s="6"/>
    </row>
    <row r="644" ht="14.25" customHeight="1">
      <c r="B644" s="6"/>
      <c r="C644" s="6"/>
    </row>
    <row r="645" ht="14.25" customHeight="1">
      <c r="B645" s="6"/>
      <c r="C645" s="6"/>
    </row>
    <row r="646" ht="14.25" customHeight="1">
      <c r="B646" s="6"/>
      <c r="C646" s="6"/>
    </row>
    <row r="647" ht="14.25" customHeight="1">
      <c r="B647" s="6"/>
      <c r="C647" s="6"/>
    </row>
    <row r="648" ht="14.25" customHeight="1">
      <c r="B648" s="6"/>
      <c r="C648" s="6"/>
    </row>
    <row r="649" ht="14.25" customHeight="1">
      <c r="B649" s="6"/>
      <c r="C649" s="6"/>
    </row>
    <row r="650" ht="14.25" customHeight="1">
      <c r="B650" s="6"/>
      <c r="C650" s="6"/>
    </row>
    <row r="651" ht="14.25" customHeight="1">
      <c r="B651" s="6"/>
      <c r="C651" s="6"/>
    </row>
    <row r="652" ht="14.25" customHeight="1">
      <c r="B652" s="6"/>
      <c r="C652" s="6"/>
    </row>
    <row r="653" ht="14.25" customHeight="1">
      <c r="B653" s="6"/>
      <c r="C653" s="6"/>
    </row>
    <row r="654" ht="14.25" customHeight="1">
      <c r="B654" s="6"/>
      <c r="C654" s="6"/>
    </row>
    <row r="655" ht="14.25" customHeight="1">
      <c r="B655" s="6"/>
      <c r="C655" s="6"/>
    </row>
    <row r="656" ht="14.25" customHeight="1">
      <c r="B656" s="6"/>
      <c r="C656" s="6"/>
    </row>
    <row r="657" ht="14.25" customHeight="1">
      <c r="B657" s="6"/>
      <c r="C657" s="6"/>
    </row>
    <row r="658" ht="14.25" customHeight="1">
      <c r="B658" s="6"/>
      <c r="C658" s="6"/>
    </row>
    <row r="659" ht="14.25" customHeight="1">
      <c r="B659" s="6"/>
      <c r="C659" s="6"/>
    </row>
    <row r="660" ht="14.25" customHeight="1">
      <c r="B660" s="6"/>
      <c r="C660" s="6"/>
    </row>
    <row r="661" ht="14.25" customHeight="1">
      <c r="B661" s="6"/>
      <c r="C661" s="6"/>
    </row>
    <row r="662" ht="14.25" customHeight="1">
      <c r="B662" s="6"/>
      <c r="C662" s="6"/>
    </row>
    <row r="663" ht="14.25" customHeight="1">
      <c r="B663" s="6"/>
      <c r="C663" s="6"/>
    </row>
    <row r="664" ht="14.25" customHeight="1">
      <c r="B664" s="6"/>
      <c r="C664" s="6"/>
    </row>
    <row r="665" ht="14.25" customHeight="1">
      <c r="B665" s="6"/>
      <c r="C665" s="6"/>
    </row>
    <row r="666" ht="14.25" customHeight="1">
      <c r="B666" s="6"/>
      <c r="C666" s="6"/>
    </row>
    <row r="667" ht="14.25" customHeight="1">
      <c r="B667" s="6"/>
      <c r="C667" s="6"/>
    </row>
    <row r="668" ht="14.25" customHeight="1">
      <c r="B668" s="6"/>
      <c r="C668" s="6"/>
    </row>
    <row r="669" ht="14.25" customHeight="1">
      <c r="B669" s="6"/>
      <c r="C669" s="6"/>
    </row>
    <row r="670" ht="14.25" customHeight="1">
      <c r="B670" s="6"/>
      <c r="C670" s="6"/>
    </row>
    <row r="671" ht="14.25" customHeight="1">
      <c r="B671" s="6"/>
      <c r="C671" s="6"/>
    </row>
    <row r="672" ht="14.25" customHeight="1">
      <c r="B672" s="6"/>
      <c r="C672" s="6"/>
    </row>
    <row r="673" ht="14.25" customHeight="1">
      <c r="B673" s="6"/>
      <c r="C673" s="6"/>
    </row>
    <row r="674" ht="14.25" customHeight="1">
      <c r="B674" s="6"/>
      <c r="C674" s="6"/>
    </row>
    <row r="675" ht="14.25" customHeight="1">
      <c r="B675" s="6"/>
      <c r="C675" s="6"/>
    </row>
    <row r="676" ht="14.25" customHeight="1">
      <c r="B676" s="6"/>
      <c r="C676" s="6"/>
    </row>
    <row r="677" ht="14.25" customHeight="1">
      <c r="B677" s="6"/>
      <c r="C677" s="6"/>
    </row>
    <row r="678" ht="14.25" customHeight="1">
      <c r="B678" s="6"/>
      <c r="C678" s="6"/>
    </row>
    <row r="679" ht="14.25" customHeight="1">
      <c r="B679" s="6"/>
      <c r="C679" s="6"/>
    </row>
    <row r="680" ht="14.25" customHeight="1">
      <c r="B680" s="6"/>
      <c r="C680" s="6"/>
    </row>
    <row r="681" ht="14.25" customHeight="1">
      <c r="B681" s="6"/>
      <c r="C681" s="6"/>
    </row>
    <row r="682" ht="14.25" customHeight="1">
      <c r="B682" s="6"/>
      <c r="C682" s="6"/>
    </row>
    <row r="683" ht="14.25" customHeight="1">
      <c r="B683" s="6"/>
      <c r="C683" s="6"/>
    </row>
    <row r="684" ht="14.25" customHeight="1">
      <c r="B684" s="6"/>
      <c r="C684" s="6"/>
    </row>
    <row r="685" ht="14.25" customHeight="1">
      <c r="B685" s="6"/>
      <c r="C685" s="6"/>
    </row>
    <row r="686" ht="14.25" customHeight="1">
      <c r="B686" s="6"/>
      <c r="C686" s="6"/>
    </row>
    <row r="687" ht="14.25" customHeight="1">
      <c r="B687" s="6"/>
      <c r="C687" s="6"/>
    </row>
    <row r="688" ht="14.25" customHeight="1">
      <c r="B688" s="6"/>
      <c r="C688" s="6"/>
    </row>
    <row r="689" ht="14.25" customHeight="1">
      <c r="B689" s="6"/>
      <c r="C689" s="6"/>
    </row>
    <row r="690" ht="14.25" customHeight="1">
      <c r="B690" s="6"/>
      <c r="C690" s="6"/>
    </row>
    <row r="691" ht="14.25" customHeight="1">
      <c r="B691" s="6"/>
      <c r="C691" s="6"/>
    </row>
    <row r="692" ht="14.25" customHeight="1">
      <c r="B692" s="6"/>
      <c r="C692" s="6"/>
    </row>
    <row r="693" ht="14.25" customHeight="1">
      <c r="B693" s="6"/>
      <c r="C693" s="6"/>
    </row>
    <row r="694" ht="14.25" customHeight="1">
      <c r="B694" s="6"/>
      <c r="C694" s="6"/>
    </row>
    <row r="695" ht="14.25" customHeight="1">
      <c r="B695" s="6"/>
      <c r="C695" s="6"/>
    </row>
    <row r="696" ht="14.25" customHeight="1">
      <c r="B696" s="6"/>
      <c r="C696" s="6"/>
    </row>
    <row r="697" ht="14.25" customHeight="1">
      <c r="B697" s="6"/>
      <c r="C697" s="6"/>
    </row>
    <row r="698" ht="14.25" customHeight="1">
      <c r="B698" s="6"/>
      <c r="C698" s="6"/>
    </row>
    <row r="699" ht="14.25" customHeight="1">
      <c r="B699" s="6"/>
      <c r="C699" s="6"/>
    </row>
    <row r="700" ht="14.25" customHeight="1">
      <c r="B700" s="6"/>
      <c r="C700" s="6"/>
    </row>
    <row r="701" ht="14.25" customHeight="1">
      <c r="B701" s="6"/>
      <c r="C701" s="6"/>
    </row>
    <row r="702" ht="14.25" customHeight="1">
      <c r="B702" s="6"/>
      <c r="C702" s="6"/>
    </row>
    <row r="703" ht="14.25" customHeight="1">
      <c r="B703" s="6"/>
      <c r="C703" s="6"/>
    </row>
    <row r="704" ht="14.25" customHeight="1">
      <c r="B704" s="6"/>
      <c r="C704" s="6"/>
    </row>
    <row r="705" ht="14.25" customHeight="1">
      <c r="B705" s="6"/>
      <c r="C705" s="6"/>
    </row>
    <row r="706" ht="14.25" customHeight="1">
      <c r="B706" s="6"/>
      <c r="C706" s="6"/>
    </row>
    <row r="707" ht="14.25" customHeight="1">
      <c r="B707" s="6"/>
      <c r="C707" s="6"/>
    </row>
    <row r="708" ht="14.25" customHeight="1">
      <c r="B708" s="6"/>
      <c r="C708" s="6"/>
    </row>
    <row r="709" ht="14.25" customHeight="1">
      <c r="B709" s="6"/>
      <c r="C709" s="6"/>
    </row>
    <row r="710" ht="14.25" customHeight="1">
      <c r="B710" s="6"/>
      <c r="C710" s="6"/>
    </row>
    <row r="711" ht="14.25" customHeight="1">
      <c r="B711" s="6"/>
      <c r="C711" s="6"/>
    </row>
    <row r="712" ht="14.25" customHeight="1">
      <c r="B712" s="6"/>
      <c r="C712" s="6"/>
    </row>
    <row r="713" ht="14.25" customHeight="1">
      <c r="B713" s="6"/>
      <c r="C713" s="6"/>
    </row>
    <row r="714" ht="14.25" customHeight="1">
      <c r="B714" s="6"/>
      <c r="C714" s="6"/>
    </row>
    <row r="715" ht="14.25" customHeight="1">
      <c r="B715" s="6"/>
      <c r="C715" s="6"/>
    </row>
    <row r="716" ht="14.25" customHeight="1">
      <c r="B716" s="6"/>
      <c r="C716" s="6"/>
    </row>
    <row r="717" ht="14.25" customHeight="1">
      <c r="B717" s="6"/>
      <c r="C717" s="6"/>
    </row>
    <row r="718" ht="14.25" customHeight="1">
      <c r="B718" s="6"/>
      <c r="C718" s="6"/>
    </row>
    <row r="719" ht="14.25" customHeight="1">
      <c r="B719" s="6"/>
      <c r="C719" s="6"/>
    </row>
    <row r="720" ht="14.25" customHeight="1">
      <c r="B720" s="6"/>
      <c r="C720" s="6"/>
    </row>
    <row r="721" ht="14.25" customHeight="1">
      <c r="B721" s="6"/>
      <c r="C721" s="6"/>
    </row>
    <row r="722" ht="14.25" customHeight="1">
      <c r="B722" s="6"/>
      <c r="C722" s="6"/>
    </row>
    <row r="723" ht="14.25" customHeight="1">
      <c r="B723" s="6"/>
      <c r="C723" s="6"/>
    </row>
    <row r="724" ht="14.25" customHeight="1">
      <c r="B724" s="6"/>
      <c r="C724" s="6"/>
    </row>
    <row r="725" ht="14.25" customHeight="1">
      <c r="B725" s="6"/>
      <c r="C725" s="6"/>
    </row>
    <row r="726" ht="14.25" customHeight="1">
      <c r="B726" s="6"/>
      <c r="C726" s="6"/>
    </row>
    <row r="727" ht="14.25" customHeight="1">
      <c r="B727" s="6"/>
      <c r="C727" s="6"/>
    </row>
    <row r="728" ht="14.25" customHeight="1">
      <c r="B728" s="6"/>
      <c r="C728" s="6"/>
    </row>
    <row r="729" ht="14.25" customHeight="1">
      <c r="B729" s="6"/>
      <c r="C729" s="6"/>
    </row>
    <row r="730" ht="14.25" customHeight="1">
      <c r="B730" s="6"/>
      <c r="C730" s="6"/>
    </row>
    <row r="731" ht="14.25" customHeight="1">
      <c r="B731" s="6"/>
      <c r="C731" s="6"/>
    </row>
    <row r="732" ht="14.25" customHeight="1">
      <c r="B732" s="6"/>
      <c r="C732" s="6"/>
    </row>
    <row r="733" ht="14.25" customHeight="1">
      <c r="B733" s="6"/>
      <c r="C733" s="6"/>
    </row>
    <row r="734" ht="14.25" customHeight="1">
      <c r="B734" s="6"/>
      <c r="C734" s="6"/>
    </row>
    <row r="735" ht="14.25" customHeight="1">
      <c r="B735" s="6"/>
      <c r="C735" s="6"/>
    </row>
    <row r="736" ht="14.25" customHeight="1">
      <c r="B736" s="6"/>
      <c r="C736" s="6"/>
    </row>
    <row r="737" ht="14.25" customHeight="1">
      <c r="B737" s="6"/>
      <c r="C737" s="6"/>
    </row>
    <row r="738" ht="14.25" customHeight="1">
      <c r="B738" s="6"/>
      <c r="C738" s="6"/>
    </row>
    <row r="739" ht="14.25" customHeight="1">
      <c r="B739" s="6"/>
      <c r="C739" s="6"/>
    </row>
    <row r="740" ht="14.25" customHeight="1">
      <c r="B740" s="6"/>
      <c r="C740" s="6"/>
    </row>
    <row r="741" ht="14.25" customHeight="1">
      <c r="B741" s="6"/>
      <c r="C741" s="6"/>
    </row>
    <row r="742" ht="14.25" customHeight="1">
      <c r="B742" s="6"/>
      <c r="C742" s="6"/>
    </row>
    <row r="743" ht="14.25" customHeight="1">
      <c r="B743" s="6"/>
      <c r="C743" s="6"/>
    </row>
    <row r="744" ht="14.25" customHeight="1">
      <c r="B744" s="6"/>
      <c r="C744" s="6"/>
    </row>
    <row r="745" ht="14.25" customHeight="1">
      <c r="B745" s="6"/>
      <c r="C745" s="6"/>
    </row>
    <row r="746" ht="14.25" customHeight="1">
      <c r="B746" s="6"/>
      <c r="C746" s="6"/>
    </row>
    <row r="747" ht="14.25" customHeight="1">
      <c r="B747" s="6"/>
      <c r="C747" s="6"/>
    </row>
    <row r="748" ht="14.25" customHeight="1">
      <c r="B748" s="6"/>
      <c r="C748" s="6"/>
    </row>
    <row r="749" ht="14.25" customHeight="1">
      <c r="B749" s="6"/>
      <c r="C749" s="6"/>
    </row>
    <row r="750" ht="14.25" customHeight="1">
      <c r="B750" s="6"/>
      <c r="C750" s="6"/>
    </row>
    <row r="751" ht="14.25" customHeight="1">
      <c r="B751" s="6"/>
      <c r="C751" s="6"/>
    </row>
    <row r="752" ht="14.25" customHeight="1">
      <c r="B752" s="6"/>
      <c r="C752" s="6"/>
    </row>
    <row r="753" ht="14.25" customHeight="1">
      <c r="B753" s="6"/>
      <c r="C753" s="6"/>
    </row>
    <row r="754" ht="14.25" customHeight="1">
      <c r="B754" s="6"/>
      <c r="C754" s="6"/>
    </row>
    <row r="755" ht="14.25" customHeight="1">
      <c r="B755" s="6"/>
      <c r="C755" s="6"/>
    </row>
    <row r="756" ht="14.25" customHeight="1">
      <c r="B756" s="6"/>
      <c r="C756" s="6"/>
    </row>
    <row r="757" ht="14.25" customHeight="1">
      <c r="B757" s="6"/>
      <c r="C757" s="6"/>
    </row>
    <row r="758" ht="14.25" customHeight="1">
      <c r="B758" s="6"/>
      <c r="C758" s="6"/>
    </row>
    <row r="759" ht="14.25" customHeight="1">
      <c r="B759" s="6"/>
      <c r="C759" s="6"/>
    </row>
    <row r="760" ht="14.25" customHeight="1">
      <c r="B760" s="6"/>
      <c r="C760" s="6"/>
    </row>
    <row r="761" ht="14.25" customHeight="1">
      <c r="B761" s="6"/>
      <c r="C761" s="6"/>
    </row>
    <row r="762" ht="14.25" customHeight="1">
      <c r="B762" s="6"/>
      <c r="C762" s="6"/>
    </row>
    <row r="763" ht="14.25" customHeight="1">
      <c r="B763" s="6"/>
      <c r="C763" s="6"/>
    </row>
    <row r="764" ht="14.25" customHeight="1">
      <c r="B764" s="6"/>
      <c r="C764" s="6"/>
    </row>
    <row r="765" ht="14.25" customHeight="1">
      <c r="B765" s="6"/>
      <c r="C765" s="6"/>
    </row>
    <row r="766" ht="14.25" customHeight="1">
      <c r="B766" s="6"/>
      <c r="C766" s="6"/>
    </row>
    <row r="767" ht="14.25" customHeight="1">
      <c r="B767" s="6"/>
      <c r="C767" s="6"/>
    </row>
    <row r="768" ht="14.25" customHeight="1">
      <c r="B768" s="6"/>
      <c r="C768" s="6"/>
    </row>
    <row r="769" ht="14.25" customHeight="1">
      <c r="B769" s="6"/>
      <c r="C769" s="6"/>
    </row>
    <row r="770" ht="14.25" customHeight="1">
      <c r="B770" s="6"/>
      <c r="C770" s="6"/>
    </row>
    <row r="771" ht="14.25" customHeight="1">
      <c r="B771" s="6"/>
      <c r="C771" s="6"/>
    </row>
    <row r="772" ht="14.25" customHeight="1">
      <c r="B772" s="6"/>
      <c r="C772" s="6"/>
    </row>
    <row r="773" ht="14.25" customHeight="1">
      <c r="B773" s="6"/>
      <c r="C773" s="6"/>
    </row>
    <row r="774" ht="14.25" customHeight="1">
      <c r="B774" s="6"/>
      <c r="C774" s="6"/>
    </row>
    <row r="775" ht="14.25" customHeight="1">
      <c r="B775" s="6"/>
      <c r="C775" s="6"/>
    </row>
    <row r="776" ht="14.25" customHeight="1">
      <c r="B776" s="6"/>
      <c r="C776" s="6"/>
    </row>
    <row r="777" ht="14.25" customHeight="1">
      <c r="B777" s="6"/>
      <c r="C777" s="6"/>
    </row>
    <row r="778" ht="14.25" customHeight="1">
      <c r="B778" s="6"/>
      <c r="C778" s="6"/>
    </row>
    <row r="779" ht="14.25" customHeight="1">
      <c r="B779" s="6"/>
      <c r="C779" s="6"/>
    </row>
    <row r="780" ht="14.25" customHeight="1">
      <c r="B780" s="6"/>
      <c r="C780" s="6"/>
    </row>
    <row r="781" ht="14.25" customHeight="1">
      <c r="B781" s="6"/>
      <c r="C781" s="6"/>
    </row>
    <row r="782" ht="14.25" customHeight="1">
      <c r="B782" s="6"/>
      <c r="C782" s="6"/>
    </row>
    <row r="783" ht="14.25" customHeight="1">
      <c r="B783" s="6"/>
      <c r="C783" s="6"/>
    </row>
    <row r="784" ht="14.25" customHeight="1">
      <c r="B784" s="6"/>
      <c r="C784" s="6"/>
    </row>
    <row r="785" ht="14.25" customHeight="1">
      <c r="B785" s="6"/>
      <c r="C785" s="6"/>
    </row>
    <row r="786" ht="14.25" customHeight="1">
      <c r="B786" s="6"/>
      <c r="C786" s="6"/>
    </row>
    <row r="787" ht="14.25" customHeight="1">
      <c r="B787" s="6"/>
      <c r="C787" s="6"/>
    </row>
    <row r="788" ht="14.25" customHeight="1">
      <c r="B788" s="6"/>
      <c r="C788" s="6"/>
    </row>
    <row r="789" ht="14.25" customHeight="1">
      <c r="B789" s="6"/>
      <c r="C789" s="6"/>
    </row>
    <row r="790" ht="14.25" customHeight="1">
      <c r="B790" s="6"/>
      <c r="C790" s="6"/>
    </row>
    <row r="791" ht="14.25" customHeight="1">
      <c r="B791" s="6"/>
      <c r="C791" s="6"/>
    </row>
    <row r="792" ht="14.25" customHeight="1">
      <c r="B792" s="6"/>
      <c r="C792" s="6"/>
    </row>
    <row r="793" ht="14.25" customHeight="1">
      <c r="B793" s="6"/>
      <c r="C793" s="6"/>
    </row>
    <row r="794" ht="14.25" customHeight="1">
      <c r="B794" s="6"/>
      <c r="C794" s="6"/>
    </row>
    <row r="795" ht="14.25" customHeight="1">
      <c r="B795" s="6"/>
      <c r="C795" s="6"/>
    </row>
    <row r="796" ht="14.25" customHeight="1">
      <c r="B796" s="6"/>
      <c r="C796" s="6"/>
    </row>
    <row r="797" ht="14.25" customHeight="1">
      <c r="B797" s="6"/>
      <c r="C797" s="6"/>
    </row>
    <row r="798" ht="14.25" customHeight="1">
      <c r="B798" s="6"/>
      <c r="C798" s="6"/>
    </row>
    <row r="799" ht="14.25" customHeight="1">
      <c r="B799" s="6"/>
      <c r="C799" s="6"/>
    </row>
    <row r="800" ht="14.25" customHeight="1">
      <c r="B800" s="6"/>
      <c r="C800" s="6"/>
    </row>
    <row r="801" ht="14.25" customHeight="1">
      <c r="B801" s="6"/>
      <c r="C801" s="6"/>
    </row>
    <row r="802" ht="14.25" customHeight="1">
      <c r="B802" s="6"/>
      <c r="C802" s="6"/>
    </row>
    <row r="803" ht="14.25" customHeight="1">
      <c r="B803" s="6"/>
      <c r="C803" s="6"/>
    </row>
    <row r="804" ht="14.25" customHeight="1">
      <c r="B804" s="6"/>
      <c r="C804" s="6"/>
    </row>
    <row r="805" ht="14.25" customHeight="1">
      <c r="B805" s="6"/>
      <c r="C805" s="6"/>
    </row>
    <row r="806" ht="14.25" customHeight="1">
      <c r="B806" s="6"/>
      <c r="C806" s="6"/>
    </row>
    <row r="807" ht="14.25" customHeight="1">
      <c r="B807" s="6"/>
      <c r="C807" s="6"/>
    </row>
    <row r="808" ht="14.25" customHeight="1">
      <c r="B808" s="6"/>
      <c r="C808" s="6"/>
    </row>
    <row r="809" ht="14.25" customHeight="1">
      <c r="B809" s="6"/>
      <c r="C809" s="6"/>
    </row>
    <row r="810" ht="14.25" customHeight="1">
      <c r="B810" s="6"/>
      <c r="C810" s="6"/>
    </row>
    <row r="811" ht="14.25" customHeight="1">
      <c r="B811" s="6"/>
      <c r="C811" s="6"/>
    </row>
    <row r="812" ht="14.25" customHeight="1">
      <c r="B812" s="6"/>
      <c r="C812" s="6"/>
    </row>
    <row r="813" ht="14.25" customHeight="1">
      <c r="B813" s="6"/>
      <c r="C813" s="6"/>
    </row>
    <row r="814" ht="14.25" customHeight="1">
      <c r="B814" s="6"/>
      <c r="C814" s="6"/>
    </row>
    <row r="815" ht="14.25" customHeight="1">
      <c r="B815" s="6"/>
      <c r="C815" s="6"/>
    </row>
    <row r="816" ht="14.25" customHeight="1">
      <c r="B816" s="6"/>
      <c r="C816" s="6"/>
    </row>
    <row r="817" ht="14.25" customHeight="1">
      <c r="B817" s="6"/>
      <c r="C817" s="6"/>
    </row>
    <row r="818" ht="14.25" customHeight="1">
      <c r="B818" s="6"/>
      <c r="C818" s="6"/>
    </row>
    <row r="819" ht="14.25" customHeight="1">
      <c r="B819" s="6"/>
      <c r="C819" s="6"/>
    </row>
    <row r="820" ht="14.25" customHeight="1">
      <c r="B820" s="6"/>
      <c r="C820" s="6"/>
    </row>
    <row r="821" ht="14.25" customHeight="1">
      <c r="B821" s="6"/>
      <c r="C821" s="6"/>
    </row>
    <row r="822" ht="14.25" customHeight="1">
      <c r="B822" s="6"/>
      <c r="C822" s="6"/>
    </row>
    <row r="823" ht="14.25" customHeight="1">
      <c r="B823" s="6"/>
      <c r="C823" s="6"/>
    </row>
    <row r="824" ht="14.25" customHeight="1">
      <c r="B824" s="6"/>
      <c r="C824" s="6"/>
    </row>
    <row r="825" ht="14.25" customHeight="1">
      <c r="B825" s="6"/>
      <c r="C825" s="6"/>
    </row>
    <row r="826" ht="14.25" customHeight="1">
      <c r="B826" s="6"/>
      <c r="C826" s="6"/>
    </row>
    <row r="827" ht="14.25" customHeight="1">
      <c r="B827" s="6"/>
      <c r="C827" s="6"/>
    </row>
    <row r="828" ht="14.25" customHeight="1">
      <c r="B828" s="6"/>
      <c r="C828" s="6"/>
    </row>
    <row r="829" ht="14.25" customHeight="1">
      <c r="B829" s="6"/>
      <c r="C829" s="6"/>
    </row>
    <row r="830" ht="14.25" customHeight="1">
      <c r="B830" s="6"/>
      <c r="C830" s="6"/>
    </row>
    <row r="831" ht="14.25" customHeight="1">
      <c r="B831" s="6"/>
      <c r="C831" s="6"/>
    </row>
    <row r="832" ht="14.25" customHeight="1">
      <c r="B832" s="6"/>
      <c r="C832" s="6"/>
    </row>
    <row r="833" ht="14.25" customHeight="1">
      <c r="B833" s="6"/>
      <c r="C833" s="6"/>
    </row>
    <row r="834" ht="14.25" customHeight="1">
      <c r="B834" s="6"/>
      <c r="C834" s="6"/>
    </row>
    <row r="835" ht="14.25" customHeight="1">
      <c r="B835" s="6"/>
      <c r="C835" s="6"/>
    </row>
    <row r="836" ht="14.25" customHeight="1">
      <c r="B836" s="6"/>
      <c r="C836" s="6"/>
    </row>
    <row r="837" ht="14.25" customHeight="1">
      <c r="B837" s="6"/>
      <c r="C837" s="6"/>
    </row>
    <row r="838" ht="14.25" customHeight="1">
      <c r="B838" s="6"/>
      <c r="C838" s="6"/>
    </row>
    <row r="839" ht="14.25" customHeight="1">
      <c r="B839" s="6"/>
      <c r="C839" s="6"/>
    </row>
    <row r="840" ht="14.25" customHeight="1">
      <c r="B840" s="6"/>
      <c r="C840" s="6"/>
    </row>
    <row r="841" ht="14.25" customHeight="1">
      <c r="B841" s="6"/>
      <c r="C841" s="6"/>
    </row>
    <row r="842" ht="14.25" customHeight="1">
      <c r="B842" s="6"/>
      <c r="C842" s="6"/>
    </row>
    <row r="843" ht="14.25" customHeight="1">
      <c r="B843" s="6"/>
      <c r="C843" s="6"/>
    </row>
    <row r="844" ht="14.25" customHeight="1">
      <c r="B844" s="6"/>
      <c r="C844" s="6"/>
    </row>
    <row r="845" ht="14.25" customHeight="1">
      <c r="B845" s="6"/>
      <c r="C845" s="6"/>
    </row>
    <row r="846" ht="14.25" customHeight="1">
      <c r="B846" s="6"/>
      <c r="C846" s="6"/>
    </row>
    <row r="847" ht="14.25" customHeight="1">
      <c r="B847" s="6"/>
      <c r="C847" s="6"/>
    </row>
    <row r="848" ht="14.25" customHeight="1">
      <c r="B848" s="6"/>
      <c r="C848" s="6"/>
    </row>
    <row r="849" ht="14.25" customHeight="1">
      <c r="B849" s="6"/>
      <c r="C849" s="6"/>
    </row>
    <row r="850" ht="14.25" customHeight="1">
      <c r="B850" s="6"/>
      <c r="C850" s="6"/>
    </row>
    <row r="851" ht="14.25" customHeight="1">
      <c r="B851" s="6"/>
      <c r="C851" s="6"/>
    </row>
    <row r="852" ht="14.25" customHeight="1">
      <c r="B852" s="6"/>
      <c r="C852" s="6"/>
    </row>
    <row r="853" ht="14.25" customHeight="1">
      <c r="B853" s="6"/>
      <c r="C853" s="6"/>
    </row>
    <row r="854" ht="14.25" customHeight="1">
      <c r="B854" s="6"/>
      <c r="C854" s="6"/>
    </row>
    <row r="855" ht="14.25" customHeight="1">
      <c r="B855" s="6"/>
      <c r="C855" s="6"/>
    </row>
    <row r="856" ht="14.25" customHeight="1">
      <c r="B856" s="6"/>
      <c r="C856" s="6"/>
    </row>
    <row r="857" ht="14.25" customHeight="1">
      <c r="B857" s="6"/>
      <c r="C857" s="6"/>
    </row>
    <row r="858" ht="14.25" customHeight="1">
      <c r="B858" s="6"/>
      <c r="C858" s="6"/>
    </row>
    <row r="859" ht="14.25" customHeight="1">
      <c r="B859" s="6"/>
      <c r="C859" s="6"/>
    </row>
    <row r="860" ht="14.25" customHeight="1">
      <c r="B860" s="6"/>
      <c r="C860" s="6"/>
    </row>
    <row r="861" ht="14.25" customHeight="1">
      <c r="B861" s="6"/>
      <c r="C861" s="6"/>
    </row>
    <row r="862" ht="14.25" customHeight="1">
      <c r="B862" s="6"/>
      <c r="C862" s="6"/>
    </row>
    <row r="863" ht="14.25" customHeight="1">
      <c r="B863" s="6"/>
      <c r="C863" s="6"/>
    </row>
    <row r="864" ht="14.25" customHeight="1">
      <c r="B864" s="6"/>
      <c r="C864" s="6"/>
    </row>
    <row r="865" ht="14.25" customHeight="1">
      <c r="B865" s="6"/>
      <c r="C865" s="6"/>
    </row>
    <row r="866" ht="14.25" customHeight="1">
      <c r="B866" s="6"/>
      <c r="C866" s="6"/>
    </row>
    <row r="867" ht="14.25" customHeight="1">
      <c r="B867" s="6"/>
      <c r="C867" s="6"/>
    </row>
    <row r="868" ht="14.25" customHeight="1">
      <c r="B868" s="6"/>
      <c r="C868" s="6"/>
    </row>
    <row r="869" ht="14.25" customHeight="1">
      <c r="B869" s="6"/>
      <c r="C869" s="6"/>
    </row>
    <row r="870" ht="14.25" customHeight="1">
      <c r="B870" s="6"/>
      <c r="C870" s="6"/>
    </row>
    <row r="871" ht="14.25" customHeight="1">
      <c r="B871" s="6"/>
      <c r="C871" s="6"/>
    </row>
    <row r="872" ht="14.25" customHeight="1">
      <c r="B872" s="6"/>
      <c r="C872" s="6"/>
    </row>
    <row r="873" ht="14.25" customHeight="1">
      <c r="B873" s="6"/>
      <c r="C873" s="6"/>
    </row>
    <row r="874" ht="14.25" customHeight="1">
      <c r="B874" s="6"/>
      <c r="C874" s="6"/>
    </row>
    <row r="875" ht="14.25" customHeight="1">
      <c r="B875" s="6"/>
      <c r="C875" s="6"/>
    </row>
    <row r="876" ht="14.25" customHeight="1">
      <c r="B876" s="6"/>
      <c r="C876" s="6"/>
    </row>
    <row r="877" ht="14.25" customHeight="1">
      <c r="B877" s="6"/>
      <c r="C877" s="6"/>
    </row>
    <row r="878" ht="14.25" customHeight="1">
      <c r="B878" s="6"/>
      <c r="C878" s="6"/>
    </row>
    <row r="879" ht="14.25" customHeight="1">
      <c r="B879" s="6"/>
      <c r="C879" s="6"/>
    </row>
    <row r="880" ht="14.25" customHeight="1">
      <c r="B880" s="6"/>
      <c r="C880" s="6"/>
    </row>
    <row r="881" ht="14.25" customHeight="1">
      <c r="B881" s="6"/>
      <c r="C881" s="6"/>
    </row>
    <row r="882" ht="14.25" customHeight="1">
      <c r="B882" s="6"/>
      <c r="C882" s="6"/>
    </row>
    <row r="883" ht="14.25" customHeight="1">
      <c r="B883" s="6"/>
      <c r="C883" s="6"/>
    </row>
    <row r="884" ht="14.25" customHeight="1">
      <c r="B884" s="6"/>
      <c r="C884" s="6"/>
    </row>
    <row r="885" ht="14.25" customHeight="1">
      <c r="B885" s="6"/>
      <c r="C885" s="6"/>
    </row>
    <row r="886" ht="14.25" customHeight="1">
      <c r="B886" s="6"/>
      <c r="C886" s="6"/>
    </row>
    <row r="887" ht="14.25" customHeight="1">
      <c r="B887" s="6"/>
      <c r="C887" s="6"/>
    </row>
    <row r="888" ht="14.25" customHeight="1">
      <c r="B888" s="6"/>
      <c r="C888" s="6"/>
    </row>
    <row r="889" ht="14.25" customHeight="1">
      <c r="B889" s="6"/>
      <c r="C889" s="6"/>
    </row>
    <row r="890" ht="14.25" customHeight="1">
      <c r="B890" s="6"/>
      <c r="C890" s="6"/>
    </row>
    <row r="891" ht="14.25" customHeight="1">
      <c r="B891" s="6"/>
      <c r="C891" s="6"/>
    </row>
    <row r="892" ht="14.25" customHeight="1">
      <c r="B892" s="6"/>
      <c r="C892" s="6"/>
    </row>
    <row r="893" ht="14.25" customHeight="1">
      <c r="B893" s="6"/>
      <c r="C893" s="6"/>
    </row>
    <row r="894" ht="14.25" customHeight="1">
      <c r="B894" s="6"/>
      <c r="C894" s="6"/>
    </row>
    <row r="895" ht="14.25" customHeight="1">
      <c r="B895" s="6"/>
      <c r="C895" s="6"/>
    </row>
    <row r="896" ht="14.25" customHeight="1">
      <c r="B896" s="6"/>
      <c r="C896" s="6"/>
    </row>
    <row r="897" ht="14.25" customHeight="1">
      <c r="B897" s="6"/>
      <c r="C897" s="6"/>
    </row>
    <row r="898" ht="14.25" customHeight="1">
      <c r="B898" s="6"/>
      <c r="C898" s="6"/>
    </row>
    <row r="899" ht="14.25" customHeight="1">
      <c r="B899" s="6"/>
      <c r="C899" s="6"/>
    </row>
    <row r="900" ht="14.25" customHeight="1">
      <c r="B900" s="6"/>
      <c r="C900" s="6"/>
    </row>
    <row r="901" ht="14.25" customHeight="1">
      <c r="B901" s="6"/>
      <c r="C901" s="6"/>
    </row>
    <row r="902" ht="14.25" customHeight="1">
      <c r="B902" s="6"/>
      <c r="C902" s="6"/>
    </row>
    <row r="903" ht="14.25" customHeight="1">
      <c r="B903" s="6"/>
      <c r="C903" s="6"/>
    </row>
    <row r="904" ht="14.25" customHeight="1">
      <c r="B904" s="6"/>
      <c r="C904" s="6"/>
    </row>
    <row r="905" ht="14.25" customHeight="1">
      <c r="B905" s="6"/>
      <c r="C905" s="6"/>
    </row>
    <row r="906" ht="14.25" customHeight="1">
      <c r="B906" s="6"/>
      <c r="C906" s="6"/>
    </row>
    <row r="907" ht="14.25" customHeight="1">
      <c r="B907" s="6"/>
      <c r="C907" s="6"/>
    </row>
    <row r="908" ht="14.25" customHeight="1">
      <c r="B908" s="6"/>
      <c r="C908" s="6"/>
    </row>
    <row r="909" ht="14.25" customHeight="1">
      <c r="B909" s="6"/>
      <c r="C909" s="6"/>
    </row>
    <row r="910" ht="14.25" customHeight="1">
      <c r="B910" s="6"/>
      <c r="C910" s="6"/>
    </row>
    <row r="911" ht="14.25" customHeight="1">
      <c r="B911" s="6"/>
      <c r="C911" s="6"/>
    </row>
    <row r="912" ht="14.25" customHeight="1">
      <c r="B912" s="6"/>
      <c r="C912" s="6"/>
    </row>
    <row r="913" ht="14.25" customHeight="1">
      <c r="B913" s="6"/>
      <c r="C913" s="6"/>
    </row>
    <row r="914" ht="14.25" customHeight="1">
      <c r="B914" s="6"/>
      <c r="C914" s="6"/>
    </row>
    <row r="915" ht="14.25" customHeight="1">
      <c r="B915" s="6"/>
      <c r="C915" s="6"/>
    </row>
    <row r="916" ht="14.25" customHeight="1">
      <c r="B916" s="6"/>
      <c r="C916" s="6"/>
    </row>
    <row r="917" ht="14.25" customHeight="1">
      <c r="B917" s="6"/>
      <c r="C917" s="6"/>
    </row>
    <row r="918" ht="14.25" customHeight="1">
      <c r="B918" s="6"/>
      <c r="C918" s="6"/>
    </row>
    <row r="919" ht="14.25" customHeight="1">
      <c r="B919" s="6"/>
      <c r="C919" s="6"/>
    </row>
    <row r="920" ht="14.25" customHeight="1">
      <c r="B920" s="6"/>
      <c r="C920" s="6"/>
    </row>
    <row r="921" ht="14.25" customHeight="1">
      <c r="B921" s="6"/>
      <c r="C921" s="6"/>
    </row>
    <row r="922" ht="14.25" customHeight="1">
      <c r="B922" s="6"/>
      <c r="C922" s="6"/>
    </row>
    <row r="923" ht="14.25" customHeight="1">
      <c r="B923" s="6"/>
      <c r="C923" s="6"/>
    </row>
    <row r="924" ht="14.25" customHeight="1">
      <c r="B924" s="6"/>
      <c r="C924" s="6"/>
    </row>
    <row r="925" ht="14.25" customHeight="1">
      <c r="B925" s="6"/>
      <c r="C925" s="6"/>
    </row>
    <row r="926" ht="14.25" customHeight="1">
      <c r="B926" s="6"/>
      <c r="C926" s="6"/>
    </row>
    <row r="927" ht="14.25" customHeight="1">
      <c r="B927" s="6"/>
      <c r="C927" s="6"/>
    </row>
    <row r="928" ht="14.25" customHeight="1">
      <c r="B928" s="6"/>
      <c r="C928" s="6"/>
    </row>
    <row r="929" ht="14.25" customHeight="1">
      <c r="B929" s="6"/>
      <c r="C929" s="6"/>
    </row>
    <row r="930" ht="14.25" customHeight="1">
      <c r="B930" s="6"/>
      <c r="C930" s="6"/>
    </row>
    <row r="931" ht="14.25" customHeight="1">
      <c r="B931" s="6"/>
      <c r="C931" s="6"/>
    </row>
    <row r="932" ht="14.25" customHeight="1">
      <c r="B932" s="6"/>
      <c r="C932" s="6"/>
    </row>
    <row r="933" ht="14.25" customHeight="1">
      <c r="B933" s="6"/>
      <c r="C933" s="6"/>
    </row>
    <row r="934" ht="14.25" customHeight="1">
      <c r="B934" s="6"/>
      <c r="C934" s="6"/>
    </row>
    <row r="935" ht="14.25" customHeight="1">
      <c r="B935" s="6"/>
      <c r="C935" s="6"/>
    </row>
    <row r="936" ht="14.25" customHeight="1">
      <c r="B936" s="6"/>
      <c r="C936" s="6"/>
    </row>
    <row r="937" ht="14.25" customHeight="1">
      <c r="B937" s="6"/>
      <c r="C937" s="6"/>
    </row>
    <row r="938" ht="14.25" customHeight="1">
      <c r="B938" s="6"/>
      <c r="C938" s="6"/>
    </row>
    <row r="939" ht="14.25" customHeight="1">
      <c r="B939" s="6"/>
      <c r="C939" s="6"/>
    </row>
    <row r="940" ht="14.25" customHeight="1">
      <c r="B940" s="6"/>
      <c r="C940" s="6"/>
    </row>
    <row r="941" ht="14.25" customHeight="1">
      <c r="B941" s="6"/>
      <c r="C941" s="6"/>
    </row>
    <row r="942" ht="14.25" customHeight="1">
      <c r="B942" s="6"/>
      <c r="C942" s="6"/>
    </row>
    <row r="943" ht="14.25" customHeight="1">
      <c r="B943" s="6"/>
      <c r="C943" s="6"/>
    </row>
    <row r="944" ht="14.25" customHeight="1">
      <c r="B944" s="6"/>
      <c r="C944" s="6"/>
    </row>
    <row r="945" ht="14.25" customHeight="1">
      <c r="B945" s="6"/>
      <c r="C945" s="6"/>
    </row>
    <row r="946" ht="14.25" customHeight="1">
      <c r="B946" s="6"/>
      <c r="C946" s="6"/>
    </row>
    <row r="947" ht="14.25" customHeight="1">
      <c r="B947" s="6"/>
      <c r="C947" s="6"/>
    </row>
    <row r="948" ht="14.25" customHeight="1">
      <c r="B948" s="6"/>
      <c r="C948" s="6"/>
    </row>
    <row r="949" ht="14.25" customHeight="1">
      <c r="B949" s="6"/>
      <c r="C949" s="6"/>
    </row>
    <row r="950" ht="14.25" customHeight="1">
      <c r="B950" s="6"/>
      <c r="C950" s="6"/>
    </row>
    <row r="951" ht="14.25" customHeight="1">
      <c r="B951" s="6"/>
      <c r="C951" s="6"/>
    </row>
    <row r="952" ht="14.25" customHeight="1">
      <c r="B952" s="6"/>
      <c r="C952" s="6"/>
    </row>
    <row r="953" ht="14.25" customHeight="1">
      <c r="B953" s="6"/>
      <c r="C953" s="6"/>
    </row>
    <row r="954" ht="14.25" customHeight="1">
      <c r="B954" s="6"/>
      <c r="C954" s="6"/>
    </row>
    <row r="955" ht="14.25" customHeight="1">
      <c r="B955" s="6"/>
      <c r="C955" s="6"/>
    </row>
    <row r="956" ht="14.25" customHeight="1">
      <c r="B956" s="6"/>
      <c r="C956" s="6"/>
    </row>
    <row r="957" ht="14.25" customHeight="1">
      <c r="B957" s="6"/>
      <c r="C957" s="6"/>
    </row>
    <row r="958" ht="14.25" customHeight="1">
      <c r="B958" s="6"/>
      <c r="C958" s="6"/>
    </row>
    <row r="959" ht="14.25" customHeight="1">
      <c r="B959" s="6"/>
      <c r="C959" s="6"/>
    </row>
    <row r="960" ht="14.25" customHeight="1">
      <c r="B960" s="6"/>
      <c r="C960" s="6"/>
    </row>
    <row r="961" ht="14.25" customHeight="1">
      <c r="B961" s="6"/>
      <c r="C961" s="6"/>
    </row>
    <row r="962" ht="14.25" customHeight="1">
      <c r="B962" s="6"/>
      <c r="C962" s="6"/>
    </row>
    <row r="963" ht="14.25" customHeight="1">
      <c r="B963" s="6"/>
      <c r="C963" s="6"/>
    </row>
    <row r="964" ht="14.25" customHeight="1">
      <c r="B964" s="6"/>
      <c r="C964" s="6"/>
    </row>
    <row r="965" ht="14.25" customHeight="1">
      <c r="B965" s="6"/>
      <c r="C965" s="6"/>
    </row>
    <row r="966" ht="14.25" customHeight="1">
      <c r="B966" s="6"/>
      <c r="C966" s="6"/>
    </row>
    <row r="967" ht="14.25" customHeight="1">
      <c r="B967" s="6"/>
      <c r="C967" s="6"/>
    </row>
    <row r="968" ht="14.25" customHeight="1">
      <c r="B968" s="6"/>
      <c r="C968" s="6"/>
    </row>
    <row r="969" ht="14.25" customHeight="1">
      <c r="B969" s="6"/>
      <c r="C969" s="6"/>
    </row>
    <row r="970" ht="14.25" customHeight="1">
      <c r="B970" s="6"/>
      <c r="C970" s="6"/>
    </row>
    <row r="971" ht="14.25" customHeight="1">
      <c r="B971" s="6"/>
      <c r="C971" s="6"/>
    </row>
    <row r="972" ht="14.25" customHeight="1">
      <c r="B972" s="6"/>
      <c r="C972" s="6"/>
    </row>
    <row r="973" ht="14.25" customHeight="1">
      <c r="B973" s="6"/>
      <c r="C973" s="6"/>
    </row>
    <row r="974" ht="14.25" customHeight="1">
      <c r="B974" s="6"/>
      <c r="C974" s="6"/>
    </row>
    <row r="975" ht="14.25" customHeight="1">
      <c r="B975" s="6"/>
      <c r="C975" s="6"/>
    </row>
    <row r="976" ht="14.25" customHeight="1">
      <c r="B976" s="6"/>
      <c r="C976" s="6"/>
    </row>
    <row r="977" ht="14.25" customHeight="1">
      <c r="B977" s="6"/>
      <c r="C977" s="6"/>
    </row>
    <row r="978" ht="14.25" customHeight="1">
      <c r="B978" s="6"/>
      <c r="C978" s="6"/>
    </row>
    <row r="979" ht="14.25" customHeight="1">
      <c r="B979" s="6"/>
      <c r="C979" s="6"/>
    </row>
    <row r="980" ht="14.25" customHeight="1">
      <c r="B980" s="6"/>
      <c r="C980" s="6"/>
    </row>
    <row r="981" ht="14.25" customHeight="1">
      <c r="B981" s="6"/>
      <c r="C981" s="6"/>
    </row>
    <row r="982" ht="14.25" customHeight="1">
      <c r="B982" s="6"/>
      <c r="C982" s="6"/>
    </row>
    <row r="983" ht="14.25" customHeight="1">
      <c r="B983" s="6"/>
      <c r="C983" s="6"/>
    </row>
    <row r="984" ht="14.25" customHeight="1">
      <c r="B984" s="6"/>
      <c r="C984" s="6"/>
    </row>
    <row r="985" ht="14.25" customHeight="1">
      <c r="B985" s="6"/>
      <c r="C985" s="6"/>
    </row>
    <row r="986" ht="14.25" customHeight="1">
      <c r="B986" s="6"/>
      <c r="C986" s="6"/>
    </row>
    <row r="987" ht="14.25" customHeight="1">
      <c r="B987" s="6"/>
      <c r="C987" s="6"/>
    </row>
    <row r="988" ht="14.25" customHeight="1">
      <c r="B988" s="6"/>
      <c r="C988" s="6"/>
    </row>
    <row r="989" ht="14.25" customHeight="1">
      <c r="B989" s="6"/>
      <c r="C989" s="6"/>
    </row>
    <row r="990" ht="14.25" customHeight="1">
      <c r="B990" s="6"/>
      <c r="C990" s="6"/>
    </row>
    <row r="991" ht="14.25" customHeight="1">
      <c r="B991" s="6"/>
      <c r="C991" s="6"/>
    </row>
    <row r="992" ht="14.25" customHeight="1">
      <c r="B992" s="6"/>
      <c r="C992" s="6"/>
    </row>
    <row r="993" ht="14.25" customHeight="1">
      <c r="B993" s="6"/>
      <c r="C993" s="6"/>
    </row>
    <row r="994" ht="14.25" customHeight="1">
      <c r="B994" s="6"/>
      <c r="C994" s="6"/>
    </row>
    <row r="995" ht="14.25" customHeight="1">
      <c r="B995" s="6"/>
      <c r="C995" s="6"/>
    </row>
    <row r="996" ht="14.25" customHeight="1">
      <c r="B996" s="6"/>
      <c r="C996" s="6"/>
    </row>
  </sheetData>
  <mergeCells count="1">
    <mergeCell ref="J46:K46"/>
  </mergeCell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6.29"/>
    <col customWidth="1" min="3" max="3" width="22.86"/>
    <col customWidth="1" min="6" max="6" width="13.43"/>
    <col customWidth="1" min="8" max="8" width="13.57"/>
  </cols>
  <sheetData>
    <row r="1">
      <c r="B1" s="1" t="s">
        <v>0</v>
      </c>
    </row>
    <row r="2">
      <c r="A2" s="2"/>
      <c r="B2" s="7" t="s">
        <v>2</v>
      </c>
      <c r="C2" s="11" t="s">
        <v>4</v>
      </c>
      <c r="D2" s="11" t="s">
        <v>6</v>
      </c>
      <c r="E2" s="11" t="s">
        <v>7</v>
      </c>
      <c r="F2" s="14" t="s">
        <v>11</v>
      </c>
      <c r="G2" s="11" t="s">
        <v>15</v>
      </c>
      <c r="H2" s="11" t="s">
        <v>9</v>
      </c>
      <c r="I2" s="11" t="s">
        <v>10</v>
      </c>
      <c r="J2" s="11" t="s">
        <v>9</v>
      </c>
      <c r="K2" s="11" t="s">
        <v>10</v>
      </c>
    </row>
    <row r="3">
      <c r="A3" s="15">
        <v>1.0</v>
      </c>
      <c r="B3" s="5"/>
      <c r="C3" s="15" t="s">
        <v>32</v>
      </c>
      <c r="D3" s="15">
        <v>2.0</v>
      </c>
      <c r="E3" s="19">
        <v>500.0</v>
      </c>
      <c r="F3" s="24">
        <f t="shared" ref="F3:F6" si="1">D3*E3</f>
        <v>1000</v>
      </c>
      <c r="G3" s="19">
        <v>800.0</v>
      </c>
      <c r="H3" s="15" t="s">
        <v>43</v>
      </c>
      <c r="I3" s="15" t="s">
        <v>44</v>
      </c>
      <c r="J3" s="15" t="s">
        <v>45</v>
      </c>
      <c r="K3" s="15" t="s">
        <v>46</v>
      </c>
    </row>
    <row r="4">
      <c r="A4" s="15">
        <v>2.0</v>
      </c>
      <c r="B4" s="5"/>
      <c r="C4" s="15" t="s">
        <v>49</v>
      </c>
      <c r="D4" s="15">
        <v>2.0</v>
      </c>
      <c r="E4" s="19">
        <v>500.0</v>
      </c>
      <c r="F4" s="24">
        <f t="shared" si="1"/>
        <v>1000</v>
      </c>
      <c r="G4" s="19">
        <v>800.0</v>
      </c>
      <c r="H4" s="5"/>
      <c r="I4" s="15"/>
      <c r="J4" s="5"/>
      <c r="K4" s="15"/>
    </row>
    <row r="5">
      <c r="A5" s="15">
        <v>3.0</v>
      </c>
      <c r="B5" s="5"/>
      <c r="C5" s="15" t="s">
        <v>53</v>
      </c>
      <c r="D5" s="15">
        <v>3.0</v>
      </c>
      <c r="E5" s="19">
        <v>500.0</v>
      </c>
      <c r="F5" s="24">
        <f t="shared" si="1"/>
        <v>1500</v>
      </c>
      <c r="G5" s="19">
        <v>800.0</v>
      </c>
      <c r="H5" s="29" t="s">
        <v>57</v>
      </c>
      <c r="I5" s="29" t="s">
        <v>67</v>
      </c>
      <c r="J5" s="5"/>
      <c r="K5" s="5"/>
    </row>
    <row r="6">
      <c r="A6" s="15">
        <v>4.0</v>
      </c>
      <c r="B6" s="5"/>
      <c r="C6" s="15" t="s">
        <v>68</v>
      </c>
      <c r="D6" s="15">
        <v>1.0</v>
      </c>
      <c r="E6" s="19">
        <v>500.0</v>
      </c>
      <c r="F6" s="24">
        <f t="shared" si="1"/>
        <v>500</v>
      </c>
      <c r="G6" s="19">
        <v>800.0</v>
      </c>
      <c r="H6" s="29" t="s">
        <v>57</v>
      </c>
      <c r="I6" s="29" t="s">
        <v>67</v>
      </c>
      <c r="J6" s="5"/>
      <c r="K6" s="5"/>
    </row>
    <row r="7">
      <c r="A7" s="15">
        <v>5.0</v>
      </c>
      <c r="B7" s="5"/>
      <c r="C7" s="5"/>
      <c r="D7" s="5"/>
      <c r="E7" s="24"/>
      <c r="F7" s="30">
        <f>SUM(F3:F6)</f>
        <v>4000</v>
      </c>
      <c r="G7" s="24"/>
      <c r="H7" s="5"/>
      <c r="I7" s="5"/>
      <c r="J7" s="5"/>
      <c r="K7" s="5"/>
    </row>
    <row r="8">
      <c r="E8" s="33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6.29"/>
    <col customWidth="1" min="3" max="3" width="22.86"/>
    <col customWidth="1" min="6" max="6" width="12.71"/>
    <col customWidth="1" min="8" max="9" width="13.0"/>
    <col customWidth="1" min="10" max="10" width="12.0"/>
  </cols>
  <sheetData>
    <row r="2">
      <c r="A2" s="2"/>
      <c r="B2" s="7" t="s">
        <v>2</v>
      </c>
      <c r="C2" s="11" t="s">
        <v>4</v>
      </c>
      <c r="D2" s="11" t="s">
        <v>6</v>
      </c>
      <c r="E2" s="11" t="s">
        <v>7</v>
      </c>
      <c r="F2" s="11"/>
      <c r="G2" s="11" t="s">
        <v>8</v>
      </c>
      <c r="H2" s="11"/>
      <c r="I2" s="11" t="s">
        <v>9</v>
      </c>
      <c r="J2" s="11" t="s">
        <v>10</v>
      </c>
      <c r="K2" s="11" t="s">
        <v>9</v>
      </c>
      <c r="L2" s="11" t="s">
        <v>10</v>
      </c>
      <c r="M2" s="11" t="s">
        <v>9</v>
      </c>
      <c r="N2" s="11" t="s">
        <v>10</v>
      </c>
    </row>
    <row r="3">
      <c r="A3" s="5"/>
      <c r="B3" s="5"/>
      <c r="C3" s="15" t="s">
        <v>12</v>
      </c>
      <c r="D3" s="15">
        <v>4.0</v>
      </c>
      <c r="E3" s="19">
        <v>3000.0</v>
      </c>
      <c r="F3" s="24">
        <f t="shared" ref="F3:F10" si="1">D3*E3</f>
        <v>12000</v>
      </c>
      <c r="G3" s="19">
        <v>2400.0</v>
      </c>
      <c r="H3" s="24">
        <f t="shared" ref="H3:H10" si="2">F3-G3</f>
        <v>9600</v>
      </c>
      <c r="I3" s="5"/>
      <c r="K3" s="5"/>
      <c r="L3" s="5"/>
      <c r="M3" s="5"/>
      <c r="N3" s="5"/>
    </row>
    <row r="4">
      <c r="A4" s="5"/>
      <c r="B4" s="5"/>
      <c r="C4" s="15" t="s">
        <v>42</v>
      </c>
      <c r="D4" s="15">
        <v>10.0</v>
      </c>
      <c r="E4" s="19">
        <v>3000.0</v>
      </c>
      <c r="F4" s="24">
        <f t="shared" si="1"/>
        <v>30000</v>
      </c>
      <c r="G4" s="19">
        <v>6000.0</v>
      </c>
      <c r="H4" s="24">
        <f t="shared" si="2"/>
        <v>24000</v>
      </c>
      <c r="I4" s="15" t="s">
        <v>43</v>
      </c>
      <c r="J4" s="15" t="s">
        <v>47</v>
      </c>
      <c r="K4" s="15" t="s">
        <v>48</v>
      </c>
      <c r="L4" s="15" t="s">
        <v>50</v>
      </c>
      <c r="M4" s="5"/>
      <c r="N4" s="5"/>
    </row>
    <row r="5">
      <c r="A5" s="5"/>
      <c r="B5" s="5"/>
      <c r="C5" s="15" t="s">
        <v>51</v>
      </c>
      <c r="D5" s="15">
        <v>1.0</v>
      </c>
      <c r="E5" s="19">
        <v>2500.0</v>
      </c>
      <c r="F5" s="24">
        <f t="shared" si="1"/>
        <v>2500</v>
      </c>
      <c r="G5" s="19">
        <v>500.0</v>
      </c>
      <c r="H5" s="24">
        <f t="shared" si="2"/>
        <v>2000</v>
      </c>
      <c r="I5" s="5"/>
      <c r="J5" s="5"/>
      <c r="K5" s="5"/>
      <c r="L5" s="5"/>
      <c r="M5" s="5"/>
      <c r="N5" s="5"/>
    </row>
    <row r="6">
      <c r="A6" s="5"/>
      <c r="B6" s="5"/>
      <c r="C6" s="15" t="s">
        <v>52</v>
      </c>
      <c r="D6" s="15">
        <v>1.0</v>
      </c>
      <c r="E6" s="19">
        <v>3000.0</v>
      </c>
      <c r="F6" s="24">
        <f t="shared" si="1"/>
        <v>3000</v>
      </c>
      <c r="G6" s="19">
        <v>600.0</v>
      </c>
      <c r="H6" s="24">
        <f t="shared" si="2"/>
        <v>2400</v>
      </c>
      <c r="I6" s="5"/>
      <c r="J6" s="5"/>
      <c r="K6" s="5"/>
      <c r="L6" s="5"/>
      <c r="M6" s="5"/>
      <c r="N6" s="5"/>
    </row>
    <row r="7">
      <c r="A7" s="5"/>
      <c r="B7" s="5"/>
      <c r="C7" s="15" t="s">
        <v>54</v>
      </c>
      <c r="D7" s="15">
        <v>2.0</v>
      </c>
      <c r="E7" s="19">
        <v>9500.0</v>
      </c>
      <c r="F7" s="24">
        <f t="shared" si="1"/>
        <v>19000</v>
      </c>
      <c r="G7" s="19">
        <v>3800.0</v>
      </c>
      <c r="H7" s="24">
        <f t="shared" si="2"/>
        <v>15200</v>
      </c>
      <c r="I7" s="15" t="s">
        <v>55</v>
      </c>
      <c r="J7" s="15" t="s">
        <v>56</v>
      </c>
      <c r="K7" s="5"/>
      <c r="L7" s="5"/>
      <c r="M7" s="5"/>
      <c r="N7" s="5"/>
    </row>
    <row r="8">
      <c r="A8" s="5"/>
      <c r="B8" s="5"/>
      <c r="C8" s="15" t="s">
        <v>58</v>
      </c>
      <c r="D8" s="15">
        <v>2.0</v>
      </c>
      <c r="E8" s="19">
        <v>2500.0</v>
      </c>
      <c r="F8" s="24">
        <f t="shared" si="1"/>
        <v>5000</v>
      </c>
      <c r="G8" s="19">
        <v>1000.0</v>
      </c>
      <c r="H8" s="24">
        <f t="shared" si="2"/>
        <v>4000</v>
      </c>
      <c r="I8" s="15" t="s">
        <v>55</v>
      </c>
      <c r="J8" s="15" t="s">
        <v>59</v>
      </c>
      <c r="K8" s="5"/>
      <c r="L8" s="5"/>
      <c r="M8" s="5"/>
      <c r="N8" s="5"/>
    </row>
    <row r="9">
      <c r="A9" s="5"/>
      <c r="B9" s="5"/>
      <c r="C9" s="15" t="s">
        <v>60</v>
      </c>
      <c r="D9" s="15">
        <v>5.0</v>
      </c>
      <c r="E9" s="19">
        <v>5000.0</v>
      </c>
      <c r="F9" s="24">
        <f t="shared" si="1"/>
        <v>25000</v>
      </c>
      <c r="G9" s="19">
        <v>5000.0</v>
      </c>
      <c r="H9" s="24">
        <f t="shared" si="2"/>
        <v>20000</v>
      </c>
      <c r="I9" s="5"/>
      <c r="J9" s="5"/>
      <c r="K9" s="5"/>
      <c r="L9" s="5"/>
      <c r="M9" s="5"/>
      <c r="N9" s="5"/>
    </row>
    <row r="10">
      <c r="A10" s="5"/>
      <c r="B10" s="5"/>
      <c r="C10" s="15" t="s">
        <v>62</v>
      </c>
      <c r="D10" s="15">
        <v>2.0</v>
      </c>
      <c r="E10" s="19">
        <v>5000.0</v>
      </c>
      <c r="F10" s="24">
        <f t="shared" si="1"/>
        <v>10000</v>
      </c>
      <c r="G10" s="19">
        <v>2000.0</v>
      </c>
      <c r="H10" s="24">
        <f t="shared" si="2"/>
        <v>8000</v>
      </c>
      <c r="I10" s="5"/>
      <c r="J10" s="5"/>
      <c r="K10" s="5"/>
      <c r="L10" s="5"/>
      <c r="M10" s="5"/>
      <c r="N10" s="5"/>
    </row>
    <row r="11">
      <c r="A11" s="5"/>
      <c r="B11" s="5"/>
      <c r="C11" s="5"/>
      <c r="D11" s="5"/>
      <c r="E11" s="24"/>
      <c r="F11" s="30">
        <f>SUM(F3:F10)</f>
        <v>106500</v>
      </c>
      <c r="G11" s="24"/>
      <c r="H11" s="36">
        <f>SUM(H3:H10)</f>
        <v>85200</v>
      </c>
      <c r="I11" s="5"/>
      <c r="J11" s="5"/>
      <c r="K11" s="5"/>
      <c r="L11" s="5"/>
      <c r="M11" s="5"/>
      <c r="N11" s="5"/>
    </row>
    <row r="12">
      <c r="A12" s="5"/>
      <c r="B12" s="5"/>
      <c r="C12" s="37" t="s">
        <v>83</v>
      </c>
      <c r="D12" s="5"/>
      <c r="E12" s="24"/>
      <c r="F12" s="24">
        <f t="shared" ref="F12:F18" si="3">D12*E12</f>
        <v>0</v>
      </c>
      <c r="G12" s="24"/>
      <c r="H12" s="5"/>
      <c r="I12" s="5"/>
      <c r="J12" s="5"/>
      <c r="K12" s="5"/>
      <c r="L12" s="5"/>
      <c r="M12" s="5"/>
      <c r="N12" s="5"/>
    </row>
    <row r="13">
      <c r="A13" s="5"/>
      <c r="B13" s="5"/>
      <c r="C13" s="15" t="s">
        <v>12</v>
      </c>
      <c r="D13" s="15">
        <v>3.0</v>
      </c>
      <c r="E13" s="19">
        <v>3000.0</v>
      </c>
      <c r="F13" s="24">
        <f t="shared" si="3"/>
        <v>9000</v>
      </c>
      <c r="G13" s="5"/>
      <c r="H13" s="5"/>
      <c r="I13" s="5"/>
      <c r="J13" s="5"/>
      <c r="K13" s="5"/>
      <c r="L13" s="5"/>
      <c r="M13" s="5"/>
      <c r="N13" s="5"/>
    </row>
    <row r="14">
      <c r="A14" s="5"/>
      <c r="B14" s="5"/>
      <c r="C14" s="15" t="s">
        <v>54</v>
      </c>
      <c r="D14" s="15">
        <v>1.0</v>
      </c>
      <c r="E14" s="19">
        <v>9500.0</v>
      </c>
      <c r="F14" s="24">
        <f t="shared" si="3"/>
        <v>9500</v>
      </c>
      <c r="G14" s="5"/>
      <c r="H14" s="5"/>
      <c r="I14" s="5"/>
      <c r="J14" s="5"/>
      <c r="K14" s="5"/>
      <c r="L14" s="5"/>
      <c r="M14" s="5"/>
      <c r="N14" s="5"/>
    </row>
    <row r="15">
      <c r="A15" s="5"/>
      <c r="B15" s="5"/>
      <c r="C15" s="15" t="s">
        <v>58</v>
      </c>
      <c r="D15" s="15">
        <v>1.0</v>
      </c>
      <c r="E15" s="19">
        <v>2500.0</v>
      </c>
      <c r="F15" s="24">
        <f t="shared" si="3"/>
        <v>2500</v>
      </c>
      <c r="G15" s="5"/>
      <c r="H15" s="5"/>
      <c r="I15" s="5"/>
      <c r="J15" s="5"/>
      <c r="K15" s="5"/>
      <c r="L15" s="5"/>
      <c r="M15" s="5"/>
      <c r="N15" s="5"/>
    </row>
    <row r="16">
      <c r="A16" s="5"/>
      <c r="B16" s="5"/>
      <c r="C16" s="15" t="s">
        <v>60</v>
      </c>
      <c r="D16" s="15">
        <v>5.0</v>
      </c>
      <c r="E16" s="19">
        <v>5000.0</v>
      </c>
      <c r="F16" s="24">
        <f t="shared" si="3"/>
        <v>25000</v>
      </c>
      <c r="G16" s="5"/>
      <c r="H16" s="5"/>
      <c r="I16" s="5"/>
      <c r="J16" s="5"/>
      <c r="K16" s="5"/>
      <c r="L16" s="5"/>
      <c r="M16" s="5"/>
      <c r="N16" s="5"/>
    </row>
    <row r="17">
      <c r="A17" s="5"/>
      <c r="B17" s="5"/>
      <c r="C17" s="15" t="s">
        <v>62</v>
      </c>
      <c r="D17" s="15">
        <v>2.0</v>
      </c>
      <c r="E17" s="19">
        <v>5000.0</v>
      </c>
      <c r="F17" s="24">
        <f t="shared" si="3"/>
        <v>10000</v>
      </c>
      <c r="G17" s="5"/>
      <c r="H17" s="5"/>
      <c r="I17" s="5"/>
      <c r="J17" s="5"/>
      <c r="K17" s="5"/>
      <c r="L17" s="5"/>
      <c r="M17" s="5"/>
      <c r="N17" s="5"/>
    </row>
    <row r="18">
      <c r="A18" s="5"/>
      <c r="B18" s="5"/>
      <c r="C18" s="15" t="s">
        <v>42</v>
      </c>
      <c r="D18" s="15">
        <v>6.0</v>
      </c>
      <c r="E18" s="19">
        <v>3000.0</v>
      </c>
      <c r="F18" s="24">
        <f t="shared" si="3"/>
        <v>18000</v>
      </c>
      <c r="G18" s="5"/>
      <c r="H18" s="5"/>
      <c r="I18" s="5"/>
      <c r="J18" s="5"/>
      <c r="K18" s="5"/>
      <c r="L18" s="5"/>
      <c r="M18" s="5"/>
      <c r="N18" s="5"/>
    </row>
    <row r="19">
      <c r="A19" s="5"/>
      <c r="B19" s="5"/>
      <c r="C19" s="5"/>
      <c r="D19" s="5"/>
      <c r="E19" s="15" t="s">
        <v>100</v>
      </c>
      <c r="F19" s="30">
        <f>SUM(F13:F18)</f>
        <v>74000</v>
      </c>
      <c r="G19" s="5"/>
      <c r="H19" s="5"/>
      <c r="I19" s="5"/>
      <c r="J19" s="5"/>
      <c r="K19" s="5"/>
      <c r="L19" s="5"/>
      <c r="M19" s="5"/>
      <c r="N19" s="5"/>
    </row>
    <row r="20">
      <c r="E20" s="40"/>
      <c r="F20" s="40"/>
    </row>
    <row r="21">
      <c r="E21" s="41" t="s">
        <v>110</v>
      </c>
      <c r="F21" s="43">
        <f>F11-F19</f>
        <v>32500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6.0"/>
    <col customWidth="1" min="3" max="3" width="6.14"/>
    <col customWidth="1" min="4" max="4" width="8.43"/>
    <col customWidth="1" min="8" max="8" width="10.14"/>
    <col customWidth="1" min="9" max="9" width="12.29"/>
    <col customWidth="1" min="10" max="10" width="15.57"/>
    <col customWidth="1" min="11" max="11" width="9.71"/>
    <col customWidth="1" min="12" max="12" width="16.14"/>
  </cols>
  <sheetData>
    <row r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5"/>
      <c r="N1" s="5"/>
      <c r="O1" s="5"/>
      <c r="P1" s="5"/>
    </row>
    <row r="2">
      <c r="A2" s="9" t="s">
        <v>5</v>
      </c>
      <c r="B2" s="12"/>
      <c r="C2" s="16" t="s">
        <v>6</v>
      </c>
      <c r="D2" s="16" t="s">
        <v>16</v>
      </c>
      <c r="E2" s="9" t="s">
        <v>17</v>
      </c>
      <c r="F2" s="9" t="s">
        <v>18</v>
      </c>
      <c r="G2" s="9" t="s">
        <v>19</v>
      </c>
      <c r="H2" s="16"/>
      <c r="I2" s="16" t="s">
        <v>20</v>
      </c>
      <c r="J2" s="16" t="s">
        <v>21</v>
      </c>
      <c r="K2" s="16" t="s">
        <v>22</v>
      </c>
      <c r="L2" s="16" t="s">
        <v>21</v>
      </c>
      <c r="M2" s="16" t="s">
        <v>23</v>
      </c>
      <c r="N2" s="16" t="s">
        <v>21</v>
      </c>
      <c r="O2" s="16" t="s">
        <v>24</v>
      </c>
      <c r="P2" s="16" t="s">
        <v>21</v>
      </c>
      <c r="Q2" s="16" t="s">
        <v>25</v>
      </c>
      <c r="R2" s="16" t="s">
        <v>21</v>
      </c>
    </row>
    <row r="3">
      <c r="A3" s="18">
        <v>1.0</v>
      </c>
      <c r="B3" s="21" t="s">
        <v>31</v>
      </c>
      <c r="C3" s="15">
        <v>3.0</v>
      </c>
      <c r="D3" s="15">
        <v>1.0</v>
      </c>
      <c r="E3" s="19">
        <v>1000.0</v>
      </c>
      <c r="F3" s="19">
        <f t="shared" ref="F3:F14" si="1">C3*E3</f>
        <v>3000</v>
      </c>
      <c r="G3" s="19">
        <v>1400.0</v>
      </c>
      <c r="H3" s="19">
        <f t="shared" ref="H3:H5" si="2">C3*G3</f>
        <v>4200</v>
      </c>
      <c r="I3" s="15" t="s">
        <v>35</v>
      </c>
      <c r="J3" s="15" t="s">
        <v>36</v>
      </c>
      <c r="K3" s="15" t="s">
        <v>37</v>
      </c>
      <c r="L3" s="15" t="s">
        <v>38</v>
      </c>
      <c r="M3" s="15" t="s">
        <v>39</v>
      </c>
      <c r="N3" s="15" t="s">
        <v>40</v>
      </c>
      <c r="O3" s="5"/>
      <c r="P3" s="5"/>
      <c r="Q3" s="5"/>
      <c r="R3" s="5"/>
    </row>
    <row r="4">
      <c r="A4" s="18">
        <v>2.0</v>
      </c>
      <c r="B4" s="28" t="s">
        <v>41</v>
      </c>
      <c r="C4" s="15">
        <v>3.0</v>
      </c>
      <c r="D4" s="15"/>
      <c r="E4" s="19">
        <v>1000.0</v>
      </c>
      <c r="F4" s="19">
        <f t="shared" si="1"/>
        <v>3000</v>
      </c>
      <c r="G4" s="19">
        <v>1500.0</v>
      </c>
      <c r="H4" s="19">
        <f t="shared" si="2"/>
        <v>4500</v>
      </c>
      <c r="I4" s="15" t="s">
        <v>64</v>
      </c>
      <c r="J4" s="15" t="s">
        <v>38</v>
      </c>
      <c r="K4" s="15" t="s">
        <v>65</v>
      </c>
      <c r="L4" s="32" t="s">
        <v>66</v>
      </c>
      <c r="M4" s="5"/>
      <c r="N4" s="5"/>
      <c r="O4" s="5"/>
      <c r="P4" s="5"/>
      <c r="Q4" s="5"/>
      <c r="R4" s="5"/>
    </row>
    <row r="5">
      <c r="A5" s="18">
        <v>3.0</v>
      </c>
      <c r="B5" s="21" t="s">
        <v>69</v>
      </c>
      <c r="C5" s="15">
        <v>10.0</v>
      </c>
      <c r="D5" s="5"/>
      <c r="E5" s="19">
        <v>280.0</v>
      </c>
      <c r="F5" s="19">
        <f t="shared" si="1"/>
        <v>2800</v>
      </c>
      <c r="G5" s="19">
        <v>400.0</v>
      </c>
      <c r="H5" s="19">
        <f t="shared" si="2"/>
        <v>4000</v>
      </c>
      <c r="I5" s="15" t="s">
        <v>70</v>
      </c>
      <c r="J5" s="15" t="s">
        <v>71</v>
      </c>
      <c r="K5" s="15" t="s">
        <v>37</v>
      </c>
      <c r="L5" s="15" t="s">
        <v>57</v>
      </c>
      <c r="M5" s="15" t="s">
        <v>72</v>
      </c>
      <c r="N5" s="15" t="s">
        <v>73</v>
      </c>
      <c r="O5" s="15" t="s">
        <v>74</v>
      </c>
      <c r="P5" s="15" t="s">
        <v>48</v>
      </c>
      <c r="Q5" s="15" t="s">
        <v>75</v>
      </c>
      <c r="R5" s="15" t="s">
        <v>45</v>
      </c>
    </row>
    <row r="6">
      <c r="A6" s="18">
        <v>4.0</v>
      </c>
      <c r="B6" s="21" t="s">
        <v>76</v>
      </c>
      <c r="C6" s="15">
        <v>2.0</v>
      </c>
      <c r="D6" s="15">
        <v>1.0</v>
      </c>
      <c r="E6" s="19">
        <v>500.0</v>
      </c>
      <c r="F6" s="19">
        <f t="shared" si="1"/>
        <v>1000</v>
      </c>
      <c r="G6" s="19"/>
      <c r="H6" s="19"/>
      <c r="I6" s="15"/>
      <c r="J6" s="15"/>
      <c r="K6" s="5"/>
      <c r="L6" s="5"/>
      <c r="M6" s="5"/>
      <c r="N6" s="5"/>
      <c r="O6" s="5"/>
      <c r="P6" s="5"/>
      <c r="Q6" s="5"/>
      <c r="R6" s="5"/>
    </row>
    <row r="7">
      <c r="A7" s="18">
        <v>5.0</v>
      </c>
      <c r="B7" s="21" t="s">
        <v>77</v>
      </c>
      <c r="C7" s="15">
        <v>2.0</v>
      </c>
      <c r="D7" s="5"/>
      <c r="E7" s="35">
        <v>1000.0</v>
      </c>
      <c r="F7" s="19">
        <f t="shared" si="1"/>
        <v>2000</v>
      </c>
      <c r="G7" s="19">
        <v>1800.0</v>
      </c>
      <c r="H7" s="19">
        <f t="shared" ref="H7:H14" si="3">C7*G7</f>
        <v>3600</v>
      </c>
      <c r="I7" s="15" t="s">
        <v>75</v>
      </c>
      <c r="J7" s="15" t="s">
        <v>45</v>
      </c>
      <c r="K7" s="5"/>
      <c r="L7" s="5"/>
      <c r="M7" s="5"/>
      <c r="N7" s="5"/>
      <c r="O7" s="5"/>
      <c r="P7" s="5"/>
      <c r="Q7" s="5"/>
      <c r="R7" s="5"/>
    </row>
    <row r="8">
      <c r="A8" s="18">
        <v>6.0</v>
      </c>
      <c r="B8" s="21" t="s">
        <v>81</v>
      </c>
      <c r="C8" s="15">
        <v>2.0</v>
      </c>
      <c r="D8" s="5"/>
      <c r="E8" s="19">
        <v>380.0</v>
      </c>
      <c r="F8" s="19">
        <f t="shared" si="1"/>
        <v>760</v>
      </c>
      <c r="G8" s="19">
        <v>400.0</v>
      </c>
      <c r="H8" s="19">
        <f t="shared" si="3"/>
        <v>800</v>
      </c>
      <c r="I8" s="15" t="s">
        <v>82</v>
      </c>
      <c r="J8" s="15" t="s">
        <v>40</v>
      </c>
      <c r="K8" s="5"/>
      <c r="L8" s="5"/>
      <c r="M8" s="5"/>
      <c r="N8" s="5"/>
      <c r="O8" s="5"/>
      <c r="P8" s="5"/>
      <c r="Q8" s="5"/>
      <c r="R8" s="5"/>
    </row>
    <row r="9">
      <c r="A9" s="18">
        <v>7.0</v>
      </c>
      <c r="B9" s="21" t="s">
        <v>84</v>
      </c>
      <c r="C9" s="15"/>
      <c r="D9" s="15">
        <v>2.0</v>
      </c>
      <c r="E9" s="19"/>
      <c r="F9" s="19">
        <f t="shared" si="1"/>
        <v>0</v>
      </c>
      <c r="G9" s="19">
        <v>600.0</v>
      </c>
      <c r="H9" s="19">
        <f t="shared" si="3"/>
        <v>0</v>
      </c>
      <c r="I9" s="15" t="s">
        <v>37</v>
      </c>
      <c r="J9" s="15" t="s">
        <v>38</v>
      </c>
      <c r="K9" s="5"/>
      <c r="L9" s="5"/>
      <c r="M9" s="5"/>
      <c r="N9" s="5"/>
      <c r="O9" s="5"/>
      <c r="P9" s="5"/>
      <c r="Q9" s="5"/>
      <c r="R9" s="5"/>
    </row>
    <row r="10">
      <c r="A10" s="18">
        <v>8.0</v>
      </c>
      <c r="B10" s="21" t="s">
        <v>85</v>
      </c>
      <c r="C10" s="5"/>
      <c r="D10" s="15">
        <v>1.0</v>
      </c>
      <c r="E10" s="24"/>
      <c r="F10" s="19">
        <f t="shared" si="1"/>
        <v>0</v>
      </c>
      <c r="G10" s="24"/>
      <c r="H10" s="19">
        <f t="shared" si="3"/>
        <v>0</v>
      </c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18">
        <v>9.0</v>
      </c>
      <c r="B11" s="21" t="s">
        <v>86</v>
      </c>
      <c r="C11" s="15">
        <v>1.0</v>
      </c>
      <c r="D11" s="5"/>
      <c r="E11" s="19">
        <v>2000.0</v>
      </c>
      <c r="F11" s="19">
        <f t="shared" si="1"/>
        <v>2000</v>
      </c>
      <c r="G11" s="19">
        <v>2500.0</v>
      </c>
      <c r="H11" s="19">
        <f t="shared" si="3"/>
        <v>2500</v>
      </c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18">
        <v>10.0</v>
      </c>
      <c r="B12" s="21" t="s">
        <v>87</v>
      </c>
      <c r="C12" s="15">
        <v>1.0</v>
      </c>
      <c r="D12" s="5"/>
      <c r="E12" s="19">
        <v>3200.0</v>
      </c>
      <c r="F12" s="19">
        <f t="shared" si="1"/>
        <v>3200</v>
      </c>
      <c r="G12" s="19">
        <v>3800.0</v>
      </c>
      <c r="H12" s="19">
        <f t="shared" si="3"/>
        <v>3800</v>
      </c>
      <c r="I12" s="15" t="s">
        <v>90</v>
      </c>
      <c r="J12" s="15" t="s">
        <v>91</v>
      </c>
      <c r="K12" s="5"/>
      <c r="L12" s="5"/>
      <c r="M12" s="5"/>
      <c r="N12" s="5"/>
      <c r="O12" s="5"/>
      <c r="P12" s="5"/>
      <c r="Q12" s="5"/>
      <c r="R12" s="5"/>
    </row>
    <row r="13">
      <c r="A13" s="18">
        <v>11.0</v>
      </c>
      <c r="B13" s="15" t="s">
        <v>92</v>
      </c>
      <c r="C13" s="15">
        <v>1.0</v>
      </c>
      <c r="D13" s="5"/>
      <c r="E13" s="19">
        <v>1400.0</v>
      </c>
      <c r="F13" s="19">
        <f t="shared" si="1"/>
        <v>1400</v>
      </c>
      <c r="G13" s="19">
        <v>1800.0</v>
      </c>
      <c r="H13" s="19">
        <f t="shared" si="3"/>
        <v>1800</v>
      </c>
      <c r="I13" s="39" t="s">
        <v>93</v>
      </c>
      <c r="J13" s="15" t="s">
        <v>98</v>
      </c>
      <c r="K13" s="5"/>
      <c r="L13" s="5"/>
      <c r="M13" s="5"/>
      <c r="N13" s="5"/>
      <c r="O13" s="5"/>
      <c r="P13" s="5"/>
      <c r="Q13" s="5"/>
      <c r="R13" s="5"/>
    </row>
    <row r="14">
      <c r="A14" s="18">
        <v>12.0</v>
      </c>
      <c r="B14" s="15" t="s">
        <v>101</v>
      </c>
      <c r="C14" s="15">
        <v>1.0</v>
      </c>
      <c r="D14" s="5"/>
      <c r="E14" s="19">
        <v>1500.0</v>
      </c>
      <c r="F14" s="19">
        <f t="shared" si="1"/>
        <v>1500</v>
      </c>
      <c r="G14" s="19">
        <v>2000.0</v>
      </c>
      <c r="H14" s="19">
        <f t="shared" si="3"/>
        <v>2000</v>
      </c>
      <c r="I14" s="15" t="s">
        <v>103</v>
      </c>
      <c r="J14" s="15" t="s">
        <v>40</v>
      </c>
      <c r="K14" s="5"/>
      <c r="L14" s="5"/>
      <c r="M14" s="5"/>
      <c r="N14" s="5"/>
      <c r="O14" s="5"/>
      <c r="P14" s="5"/>
      <c r="Q14" s="5"/>
      <c r="R14" s="5"/>
    </row>
    <row r="15">
      <c r="A15" s="18">
        <v>13.0</v>
      </c>
      <c r="B15" s="15" t="s">
        <v>105</v>
      </c>
      <c r="C15" s="15">
        <v>1.0</v>
      </c>
      <c r="D15" s="5"/>
      <c r="E15" s="15" t="s">
        <v>106</v>
      </c>
      <c r="F15" s="15"/>
      <c r="G15" s="15"/>
      <c r="H15" s="1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18">
        <v>14.0</v>
      </c>
      <c r="B16" s="15" t="s">
        <v>108</v>
      </c>
      <c r="C16" s="15">
        <v>1.0</v>
      </c>
      <c r="D16" s="5"/>
      <c r="E16" s="15" t="s">
        <v>106</v>
      </c>
      <c r="F16" s="15"/>
      <c r="G16" s="15"/>
      <c r="H16" s="1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18">
        <v>15.0</v>
      </c>
      <c r="B17" s="5"/>
      <c r="C17" s="5"/>
      <c r="D17" s="5"/>
      <c r="E17" s="42"/>
      <c r="F17" s="42"/>
      <c r="G17" s="42"/>
      <c r="H17" s="42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18">
        <v>16.0</v>
      </c>
      <c r="B18" s="5"/>
      <c r="C18" s="5"/>
      <c r="D18" s="45"/>
      <c r="E18" s="46" t="s">
        <v>100</v>
      </c>
      <c r="F18" s="47">
        <f>SUM(F3:F17)</f>
        <v>20660</v>
      </c>
      <c r="G18" s="48"/>
      <c r="H18" s="50">
        <f>SUM(H3:H16)</f>
        <v>27200</v>
      </c>
      <c r="I18" s="51"/>
      <c r="J18" s="5"/>
      <c r="K18" s="5"/>
      <c r="L18" s="5"/>
      <c r="M18" s="5"/>
      <c r="N18" s="5"/>
      <c r="O18" s="5"/>
      <c r="P18" s="5"/>
      <c r="Q18" s="5"/>
      <c r="R18" s="5"/>
    </row>
    <row r="19">
      <c r="B19" s="41"/>
      <c r="E19" s="53" t="s">
        <v>120</v>
      </c>
      <c r="F19" s="55">
        <f>F18-F20</f>
        <v>15260</v>
      </c>
      <c r="G19" s="41" t="s">
        <v>121</v>
      </c>
    </row>
    <row r="20">
      <c r="B20" s="41"/>
      <c r="E20" s="53" t="s">
        <v>122</v>
      </c>
      <c r="F20" s="55">
        <f>F39</f>
        <v>5400</v>
      </c>
    </row>
    <row r="21">
      <c r="B21" s="41" t="s">
        <v>123</v>
      </c>
      <c r="M21" s="33">
        <f>F18-F39</f>
        <v>15260</v>
      </c>
    </row>
    <row r="22">
      <c r="A22" s="3" t="s">
        <v>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8"/>
    </row>
    <row r="23">
      <c r="A23" s="9" t="s">
        <v>5</v>
      </c>
      <c r="B23" s="12"/>
      <c r="C23" s="16"/>
      <c r="D23" s="16" t="s">
        <v>16</v>
      </c>
      <c r="E23" s="9" t="s">
        <v>17</v>
      </c>
      <c r="F23" s="9"/>
      <c r="G23" s="9" t="s">
        <v>19</v>
      </c>
      <c r="H23" s="16"/>
      <c r="I23" s="16" t="s">
        <v>20</v>
      </c>
      <c r="J23" s="16" t="s">
        <v>21</v>
      </c>
      <c r="K23" s="16" t="s">
        <v>22</v>
      </c>
      <c r="L23" s="16" t="s">
        <v>21</v>
      </c>
    </row>
    <row r="24">
      <c r="A24" s="18">
        <v>1.0</v>
      </c>
      <c r="B24" s="21" t="s">
        <v>31</v>
      </c>
      <c r="C24" s="5"/>
      <c r="D24" s="15">
        <v>1.0</v>
      </c>
      <c r="E24" s="19">
        <v>1000.0</v>
      </c>
      <c r="F24" s="24">
        <f t="shared" ref="F24:F37" si="4">D24*E24</f>
        <v>1000</v>
      </c>
      <c r="G24" s="19">
        <v>1400.0</v>
      </c>
      <c r="H24" s="5"/>
      <c r="I24" s="5"/>
      <c r="J24" s="5"/>
      <c r="K24" s="5"/>
      <c r="L24" s="5"/>
    </row>
    <row r="25">
      <c r="A25" s="18">
        <v>2.0</v>
      </c>
      <c r="B25" s="59" t="s">
        <v>41</v>
      </c>
      <c r="C25" s="5"/>
      <c r="D25" s="5"/>
      <c r="E25" s="19">
        <v>1000.0</v>
      </c>
      <c r="F25" s="24">
        <f t="shared" si="4"/>
        <v>0</v>
      </c>
      <c r="G25" s="19">
        <v>1500.0</v>
      </c>
      <c r="H25" s="5"/>
      <c r="I25" s="5"/>
      <c r="J25" s="5"/>
      <c r="K25" s="5"/>
      <c r="L25" s="5"/>
    </row>
    <row r="26">
      <c r="A26" s="18">
        <v>3.0</v>
      </c>
      <c r="B26" s="21" t="s">
        <v>69</v>
      </c>
      <c r="C26" s="5"/>
      <c r="D26" s="15">
        <v>5.0</v>
      </c>
      <c r="E26" s="19">
        <v>280.0</v>
      </c>
      <c r="F26" s="24">
        <f t="shared" si="4"/>
        <v>1400</v>
      </c>
      <c r="G26" s="19">
        <v>400.0</v>
      </c>
      <c r="H26" s="5"/>
      <c r="I26" s="5"/>
      <c r="J26" s="5"/>
      <c r="K26" s="5"/>
      <c r="L26" s="5"/>
    </row>
    <row r="27">
      <c r="A27" s="18">
        <v>4.0</v>
      </c>
      <c r="B27" s="21" t="s">
        <v>76</v>
      </c>
      <c r="C27" s="5"/>
      <c r="D27" s="15"/>
      <c r="E27" s="19">
        <v>500.0</v>
      </c>
      <c r="F27" s="24">
        <f t="shared" si="4"/>
        <v>0</v>
      </c>
      <c r="G27" s="19">
        <v>600.0</v>
      </c>
      <c r="H27" s="5"/>
      <c r="I27" s="5"/>
      <c r="J27" s="5"/>
      <c r="K27" s="5"/>
      <c r="L27" s="5"/>
    </row>
    <row r="28">
      <c r="A28" s="18">
        <v>5.0</v>
      </c>
      <c r="B28" s="21" t="s">
        <v>77</v>
      </c>
      <c r="C28" s="5"/>
      <c r="D28" s="15">
        <v>1.0</v>
      </c>
      <c r="E28" s="61">
        <v>1000.0</v>
      </c>
      <c r="F28" s="24">
        <f t="shared" si="4"/>
        <v>1000</v>
      </c>
      <c r="G28" s="19">
        <v>1800.0</v>
      </c>
      <c r="H28" s="5"/>
      <c r="I28" s="5"/>
      <c r="J28" s="5"/>
      <c r="K28" s="5"/>
      <c r="L28" s="5"/>
    </row>
    <row r="29">
      <c r="A29" s="18">
        <v>6.0</v>
      </c>
      <c r="B29" s="21" t="s">
        <v>81</v>
      </c>
      <c r="C29" s="5"/>
      <c r="D29" s="5"/>
      <c r="E29" s="19">
        <v>380.0</v>
      </c>
      <c r="F29" s="24">
        <f t="shared" si="4"/>
        <v>0</v>
      </c>
      <c r="G29" s="19">
        <v>400.0</v>
      </c>
      <c r="H29" s="5"/>
      <c r="I29" s="5"/>
      <c r="J29" s="5"/>
      <c r="K29" s="5"/>
      <c r="L29" s="5"/>
    </row>
    <row r="30">
      <c r="A30" s="18">
        <v>7.0</v>
      </c>
      <c r="B30" s="21" t="s">
        <v>84</v>
      </c>
      <c r="C30" s="5"/>
      <c r="D30" s="5"/>
      <c r="E30" s="19"/>
      <c r="F30" s="24">
        <f t="shared" si="4"/>
        <v>0</v>
      </c>
      <c r="G30" s="19">
        <v>600.0</v>
      </c>
      <c r="H30" s="5"/>
      <c r="I30" s="5"/>
      <c r="J30" s="5"/>
      <c r="K30" s="5"/>
      <c r="L30" s="5"/>
    </row>
    <row r="31">
      <c r="A31" s="18">
        <v>8.0</v>
      </c>
      <c r="B31" s="21" t="s">
        <v>85</v>
      </c>
      <c r="C31" s="5"/>
      <c r="D31" s="15">
        <v>1.0</v>
      </c>
      <c r="E31" s="24"/>
      <c r="F31" s="24">
        <f t="shared" si="4"/>
        <v>0</v>
      </c>
      <c r="G31" s="24"/>
      <c r="H31" s="5"/>
      <c r="I31" s="5"/>
      <c r="J31" s="5"/>
      <c r="K31" s="5"/>
      <c r="L31" s="5"/>
    </row>
    <row r="32">
      <c r="A32" s="18">
        <v>9.0</v>
      </c>
      <c r="B32" s="21" t="s">
        <v>86</v>
      </c>
      <c r="C32" s="5"/>
      <c r="D32" s="15">
        <v>1.0</v>
      </c>
      <c r="E32" s="19">
        <v>2000.0</v>
      </c>
      <c r="F32" s="24">
        <f t="shared" si="4"/>
        <v>2000</v>
      </c>
      <c r="G32" s="19">
        <v>2500.0</v>
      </c>
      <c r="H32" s="5"/>
      <c r="I32" s="5"/>
      <c r="J32" s="5"/>
      <c r="K32" s="5"/>
      <c r="L32" s="5"/>
    </row>
    <row r="33">
      <c r="A33" s="18">
        <v>10.0</v>
      </c>
      <c r="B33" s="21" t="s">
        <v>87</v>
      </c>
      <c r="C33" s="5"/>
      <c r="D33" s="5"/>
      <c r="E33" s="19">
        <v>3200.0</v>
      </c>
      <c r="F33" s="24">
        <f t="shared" si="4"/>
        <v>0</v>
      </c>
      <c r="G33" s="19">
        <v>3800.0</v>
      </c>
      <c r="H33" s="5"/>
      <c r="I33" s="5"/>
      <c r="J33" s="5"/>
      <c r="K33" s="5"/>
      <c r="L33" s="5"/>
    </row>
    <row r="34">
      <c r="A34" s="18">
        <v>11.0</v>
      </c>
      <c r="B34" s="15" t="s">
        <v>92</v>
      </c>
      <c r="C34" s="5"/>
      <c r="D34" s="5"/>
      <c r="E34" s="19">
        <v>1400.0</v>
      </c>
      <c r="F34" s="24">
        <f t="shared" si="4"/>
        <v>0</v>
      </c>
      <c r="G34" s="19">
        <v>1800.0</v>
      </c>
      <c r="H34" s="5"/>
      <c r="I34" s="5"/>
      <c r="J34" s="5"/>
      <c r="K34" s="5"/>
      <c r="L34" s="5"/>
    </row>
    <row r="35">
      <c r="A35" s="18">
        <v>12.0</v>
      </c>
      <c r="B35" s="15" t="s">
        <v>101</v>
      </c>
      <c r="C35" s="5"/>
      <c r="D35" s="5"/>
      <c r="E35" s="19">
        <v>1500.0</v>
      </c>
      <c r="F35" s="24">
        <f t="shared" si="4"/>
        <v>0</v>
      </c>
      <c r="G35" s="19">
        <v>2000.0</v>
      </c>
      <c r="H35" s="5"/>
      <c r="I35" s="5"/>
      <c r="J35" s="5"/>
      <c r="K35" s="5"/>
      <c r="L35" s="5"/>
    </row>
    <row r="36">
      <c r="A36" s="18">
        <v>13.0</v>
      </c>
      <c r="B36" s="15" t="s">
        <v>105</v>
      </c>
      <c r="C36" s="5"/>
      <c r="D36" s="15">
        <v>1.0</v>
      </c>
      <c r="E36" s="19"/>
      <c r="F36" s="24">
        <f t="shared" si="4"/>
        <v>0</v>
      </c>
      <c r="G36" s="19">
        <v>5000.0</v>
      </c>
      <c r="H36" s="15" t="s">
        <v>106</v>
      </c>
      <c r="I36" s="5"/>
      <c r="J36" s="5"/>
      <c r="K36" s="5"/>
      <c r="L36" s="5"/>
    </row>
    <row r="37">
      <c r="A37" s="18">
        <v>14.0</v>
      </c>
      <c r="B37" s="15" t="s">
        <v>108</v>
      </c>
      <c r="C37" s="5"/>
      <c r="D37" s="15">
        <v>1.0</v>
      </c>
      <c r="E37" s="19"/>
      <c r="F37" s="24">
        <f t="shared" si="4"/>
        <v>0</v>
      </c>
      <c r="G37" s="19">
        <v>5500.0</v>
      </c>
      <c r="H37" s="15" t="s">
        <v>106</v>
      </c>
      <c r="I37" s="5"/>
      <c r="J37" s="5"/>
      <c r="K37" s="5"/>
      <c r="L37" s="5"/>
    </row>
    <row r="38">
      <c r="A38" s="18">
        <v>15.0</v>
      </c>
      <c r="B38" s="5"/>
      <c r="C38" s="5"/>
      <c r="D38" s="5"/>
      <c r="E38" s="24"/>
      <c r="F38" s="24"/>
      <c r="G38" s="24"/>
      <c r="H38" s="5"/>
      <c r="I38" s="5"/>
      <c r="J38" s="5"/>
      <c r="K38" s="5"/>
      <c r="L38" s="5"/>
    </row>
    <row r="39">
      <c r="A39" s="18">
        <v>16.0</v>
      </c>
      <c r="B39" s="5"/>
      <c r="C39" s="5"/>
      <c r="D39" s="5"/>
      <c r="E39" s="24"/>
      <c r="F39" s="24">
        <f>SUM(F24:F38)</f>
        <v>5400</v>
      </c>
      <c r="G39" s="24"/>
      <c r="H39" s="5"/>
      <c r="I39" s="5"/>
      <c r="J39" s="5"/>
      <c r="K39" s="5"/>
      <c r="L39" s="5"/>
    </row>
    <row r="40">
      <c r="E40" s="33"/>
      <c r="F40" s="33"/>
      <c r="G40" s="33"/>
    </row>
    <row r="41">
      <c r="B41" s="65" t="s">
        <v>141</v>
      </c>
    </row>
    <row r="42">
      <c r="A42" s="3" t="s">
        <v>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8"/>
    </row>
    <row r="43">
      <c r="A43" s="9" t="s">
        <v>5</v>
      </c>
      <c r="B43" s="12"/>
      <c r="C43" s="16"/>
      <c r="D43" s="16" t="s">
        <v>16</v>
      </c>
      <c r="E43" s="9" t="s">
        <v>7</v>
      </c>
      <c r="F43" s="9" t="s">
        <v>146</v>
      </c>
      <c r="G43" s="9" t="s">
        <v>19</v>
      </c>
      <c r="H43" s="16"/>
      <c r="I43" s="16" t="s">
        <v>20</v>
      </c>
      <c r="J43" s="16" t="s">
        <v>21</v>
      </c>
      <c r="K43" s="16" t="s">
        <v>22</v>
      </c>
      <c r="L43" s="16" t="s">
        <v>21</v>
      </c>
    </row>
    <row r="44">
      <c r="A44" s="18">
        <v>1.0</v>
      </c>
      <c r="B44" s="21" t="s">
        <v>31</v>
      </c>
      <c r="C44" s="5"/>
      <c r="D44" s="15">
        <v>10.0</v>
      </c>
      <c r="E44" s="19">
        <v>1000.0</v>
      </c>
      <c r="F44" s="24">
        <f t="shared" ref="F44:F50" si="5">D44*E44</f>
        <v>10000</v>
      </c>
      <c r="G44" s="19">
        <v>1500.0</v>
      </c>
      <c r="H44" s="24">
        <f t="shared" ref="H44:H50" si="6">G44*D44</f>
        <v>15000</v>
      </c>
      <c r="I44" s="5"/>
      <c r="J44" s="5"/>
      <c r="K44" s="5"/>
      <c r="L44" s="5"/>
    </row>
    <row r="45">
      <c r="A45" s="18">
        <v>2.0</v>
      </c>
      <c r="B45" s="28" t="s">
        <v>155</v>
      </c>
      <c r="C45" s="5"/>
      <c r="D45" s="15">
        <v>3.0</v>
      </c>
      <c r="E45" s="19">
        <v>2000.0</v>
      </c>
      <c r="F45" s="24">
        <f t="shared" si="5"/>
        <v>6000</v>
      </c>
      <c r="G45" s="19">
        <v>1500.0</v>
      </c>
      <c r="H45" s="24">
        <f t="shared" si="6"/>
        <v>4500</v>
      </c>
      <c r="I45" s="67" t="s">
        <v>156</v>
      </c>
      <c r="J45" s="15" t="s">
        <v>43</v>
      </c>
      <c r="K45" s="5"/>
      <c r="L45" s="5"/>
    </row>
    <row r="46">
      <c r="A46" s="18">
        <v>3.0</v>
      </c>
      <c r="B46" s="21" t="s">
        <v>159</v>
      </c>
      <c r="C46" s="5"/>
      <c r="D46" s="15">
        <v>3.0</v>
      </c>
      <c r="E46" s="19">
        <v>1500.0</v>
      </c>
      <c r="F46" s="24">
        <f t="shared" si="5"/>
        <v>4500</v>
      </c>
      <c r="G46" s="19">
        <v>400.0</v>
      </c>
      <c r="H46" s="24">
        <f t="shared" si="6"/>
        <v>1200</v>
      </c>
      <c r="I46" s="5"/>
      <c r="J46" s="5"/>
      <c r="K46" s="5"/>
      <c r="L46" s="5"/>
    </row>
    <row r="47">
      <c r="A47" s="18">
        <v>4.0</v>
      </c>
      <c r="B47" s="21" t="s">
        <v>69</v>
      </c>
      <c r="C47" s="5"/>
      <c r="D47" s="15">
        <v>10.0</v>
      </c>
      <c r="E47" s="19">
        <v>300.0</v>
      </c>
      <c r="F47" s="24">
        <f t="shared" si="5"/>
        <v>3000</v>
      </c>
      <c r="G47" s="19">
        <v>400.0</v>
      </c>
      <c r="H47" s="24">
        <f t="shared" si="6"/>
        <v>4000</v>
      </c>
      <c r="I47" s="5"/>
      <c r="J47" s="5"/>
      <c r="K47" s="5"/>
      <c r="L47" s="5"/>
    </row>
    <row r="48">
      <c r="A48" s="18">
        <v>5.0</v>
      </c>
      <c r="B48" s="21" t="s">
        <v>161</v>
      </c>
      <c r="C48" s="5"/>
      <c r="D48" s="15">
        <v>10.0</v>
      </c>
      <c r="E48" s="35">
        <v>330.0</v>
      </c>
      <c r="F48" s="24">
        <f t="shared" si="5"/>
        <v>3300</v>
      </c>
      <c r="G48" s="19">
        <v>500.0</v>
      </c>
      <c r="H48" s="24">
        <f t="shared" si="6"/>
        <v>5000</v>
      </c>
      <c r="I48" s="5"/>
      <c r="J48" s="5"/>
      <c r="K48" s="5"/>
      <c r="L48" s="5"/>
    </row>
    <row r="49">
      <c r="A49" s="18">
        <v>6.0</v>
      </c>
      <c r="B49" s="21" t="s">
        <v>162</v>
      </c>
      <c r="C49" s="5"/>
      <c r="D49" s="15">
        <v>5.0</v>
      </c>
      <c r="E49" s="19">
        <v>700.0</v>
      </c>
      <c r="F49" s="24">
        <f t="shared" si="5"/>
        <v>3500</v>
      </c>
      <c r="G49" s="19">
        <v>800.0</v>
      </c>
      <c r="H49" s="24">
        <f t="shared" si="6"/>
        <v>4000</v>
      </c>
      <c r="I49" s="5"/>
      <c r="J49" s="5"/>
      <c r="K49" s="5"/>
      <c r="L49" s="5"/>
    </row>
    <row r="50">
      <c r="A50" s="18">
        <v>7.0</v>
      </c>
      <c r="B50" s="21" t="s">
        <v>163</v>
      </c>
      <c r="C50" s="5"/>
      <c r="D50" s="15">
        <v>3.0</v>
      </c>
      <c r="E50" s="19">
        <v>2000.0</v>
      </c>
      <c r="F50" s="24">
        <f t="shared" si="5"/>
        <v>6000</v>
      </c>
      <c r="G50" s="19">
        <v>2800.0</v>
      </c>
      <c r="H50" s="24">
        <f t="shared" si="6"/>
        <v>8400</v>
      </c>
      <c r="I50" s="5"/>
      <c r="J50" s="5"/>
      <c r="K50" s="5"/>
      <c r="L50" s="5"/>
    </row>
    <row r="51">
      <c r="A51" s="18">
        <v>8.0</v>
      </c>
      <c r="B51" s="21"/>
      <c r="C51" s="5"/>
      <c r="D51" s="15"/>
      <c r="E51" s="24"/>
      <c r="F51" s="24"/>
      <c r="G51" s="24"/>
      <c r="H51" s="24"/>
      <c r="I51" s="5"/>
      <c r="J51" s="5"/>
      <c r="K51" s="5"/>
      <c r="L51" s="5"/>
    </row>
    <row r="52">
      <c r="A52" s="18">
        <v>9.0</v>
      </c>
      <c r="B52" s="21"/>
      <c r="C52" s="5"/>
      <c r="D52" s="15"/>
      <c r="E52" s="19"/>
      <c r="F52" s="24">
        <f t="shared" ref="F52:G52" si="7">SUM(F44:F50)</f>
        <v>36300</v>
      </c>
      <c r="G52" s="19">
        <f t="shared" si="7"/>
        <v>7900</v>
      </c>
      <c r="H52" s="24"/>
      <c r="I52" s="5"/>
      <c r="J52" s="5"/>
      <c r="K52" s="5"/>
      <c r="L52" s="5"/>
    </row>
  </sheetData>
  <mergeCells count="3">
    <mergeCell ref="A1:L1"/>
    <mergeCell ref="A22:L22"/>
    <mergeCell ref="A42:L42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1.43"/>
    <col customWidth="1" min="3" max="3" width="6.14"/>
    <col customWidth="1" min="6" max="6" width="10.14"/>
    <col customWidth="1" min="7" max="7" width="18.57"/>
    <col customWidth="1" min="9" max="9" width="18.43"/>
  </cols>
  <sheetData>
    <row r="1">
      <c r="A1" s="71" t="s">
        <v>175</v>
      </c>
      <c r="B1" s="4"/>
      <c r="C1" s="4"/>
      <c r="D1" s="4"/>
      <c r="E1" s="4"/>
      <c r="F1" s="4"/>
      <c r="G1" s="4"/>
      <c r="H1" s="4"/>
      <c r="I1" s="8"/>
    </row>
    <row r="2">
      <c r="A2" s="75" t="s">
        <v>5</v>
      </c>
      <c r="B2" s="77"/>
      <c r="C2" s="80" t="s">
        <v>6</v>
      </c>
      <c r="D2" s="75" t="s">
        <v>17</v>
      </c>
      <c r="E2" s="75" t="s">
        <v>19</v>
      </c>
      <c r="F2" s="80" t="s">
        <v>20</v>
      </c>
      <c r="G2" s="80" t="s">
        <v>21</v>
      </c>
      <c r="H2" s="80" t="s">
        <v>22</v>
      </c>
      <c r="I2" s="80" t="s">
        <v>21</v>
      </c>
    </row>
    <row r="3">
      <c r="A3" s="82">
        <v>1.0</v>
      </c>
      <c r="B3" s="84" t="s">
        <v>211</v>
      </c>
      <c r="C3" s="84">
        <v>1.0</v>
      </c>
      <c r="D3" s="84"/>
      <c r="E3" s="87">
        <v>3200.0</v>
      </c>
      <c r="F3" s="84"/>
      <c r="G3" s="84"/>
      <c r="H3" s="89"/>
      <c r="I3" s="89"/>
    </row>
    <row r="4">
      <c r="A4" s="82">
        <v>2.0</v>
      </c>
      <c r="B4" s="84" t="s">
        <v>226</v>
      </c>
      <c r="C4" s="84">
        <v>1.0</v>
      </c>
      <c r="D4" s="84"/>
      <c r="E4" s="87">
        <v>3500.0</v>
      </c>
      <c r="F4" s="84" t="s">
        <v>207</v>
      </c>
      <c r="G4" s="84"/>
      <c r="H4" s="89"/>
      <c r="I4" s="89"/>
    </row>
    <row r="5">
      <c r="A5" s="82">
        <v>3.0</v>
      </c>
      <c r="B5" s="84" t="s">
        <v>229</v>
      </c>
      <c r="C5" s="84">
        <v>1.0</v>
      </c>
      <c r="D5" s="84"/>
      <c r="E5" s="87">
        <v>1500.0</v>
      </c>
      <c r="F5" s="84" t="s">
        <v>70</v>
      </c>
      <c r="G5" s="89"/>
      <c r="H5" s="89"/>
      <c r="I5" s="89"/>
    </row>
    <row r="6">
      <c r="A6" s="82">
        <v>4.0</v>
      </c>
      <c r="B6" s="84" t="s">
        <v>231</v>
      </c>
      <c r="C6" s="84">
        <v>1.0</v>
      </c>
      <c r="D6" s="89"/>
      <c r="E6" s="87">
        <v>3500.0</v>
      </c>
      <c r="F6" s="89"/>
      <c r="G6" s="89"/>
      <c r="H6" s="89"/>
      <c r="I6" s="89"/>
    </row>
    <row r="7">
      <c r="A7" s="82">
        <v>5.0</v>
      </c>
      <c r="B7" s="84" t="s">
        <v>233</v>
      </c>
      <c r="C7" s="84">
        <v>1.0</v>
      </c>
      <c r="D7" s="92"/>
      <c r="E7" s="87">
        <v>3200.0</v>
      </c>
      <c r="F7" s="84" t="s">
        <v>70</v>
      </c>
      <c r="G7" s="84" t="s">
        <v>242</v>
      </c>
      <c r="H7" s="89"/>
      <c r="I7" s="89"/>
    </row>
    <row r="8">
      <c r="A8" s="82">
        <v>6.0</v>
      </c>
      <c r="B8" s="84"/>
      <c r="C8" s="84"/>
      <c r="D8" s="84"/>
      <c r="E8" s="84"/>
      <c r="F8" s="89"/>
      <c r="G8" s="89"/>
      <c r="H8" s="89"/>
      <c r="I8" s="89"/>
    </row>
    <row r="9">
      <c r="A9" s="82">
        <v>7.0</v>
      </c>
      <c r="B9" s="84"/>
      <c r="C9" s="84"/>
      <c r="D9" s="84"/>
      <c r="E9" s="84"/>
      <c r="F9" s="89"/>
      <c r="G9" s="89"/>
      <c r="H9" s="89"/>
      <c r="I9" s="89"/>
    </row>
    <row r="10">
      <c r="A10" s="82">
        <v>8.0</v>
      </c>
      <c r="B10" s="84"/>
      <c r="C10" s="89"/>
      <c r="D10" s="89"/>
      <c r="E10" s="89"/>
      <c r="F10" s="89"/>
      <c r="G10" s="89"/>
      <c r="H10" s="89"/>
      <c r="I10" s="89"/>
    </row>
    <row r="11">
      <c r="A11" s="82">
        <v>9.0</v>
      </c>
      <c r="B11" s="84"/>
      <c r="C11" s="84"/>
      <c r="D11" s="84"/>
      <c r="E11" s="84"/>
      <c r="F11" s="89"/>
      <c r="G11" s="89"/>
      <c r="H11" s="89"/>
      <c r="I11" s="89"/>
    </row>
    <row r="12">
      <c r="A12" s="82">
        <v>10.0</v>
      </c>
      <c r="B12" s="84"/>
      <c r="C12" s="84"/>
      <c r="D12" s="84"/>
      <c r="E12" s="84"/>
      <c r="F12" s="89"/>
      <c r="G12" s="89"/>
      <c r="H12" s="89"/>
      <c r="I12" s="89"/>
    </row>
    <row r="13">
      <c r="A13" s="82">
        <v>11.0</v>
      </c>
      <c r="B13" s="84"/>
      <c r="C13" s="84"/>
      <c r="D13" s="84"/>
      <c r="E13" s="84"/>
      <c r="F13" s="89"/>
      <c r="G13" s="89"/>
      <c r="H13" s="89"/>
      <c r="I13" s="89"/>
    </row>
    <row r="14">
      <c r="A14" s="82">
        <v>12.0</v>
      </c>
      <c r="B14" s="84"/>
      <c r="C14" s="84"/>
      <c r="D14" s="84"/>
      <c r="E14" s="84"/>
      <c r="F14" s="89"/>
      <c r="G14" s="89"/>
      <c r="H14" s="89"/>
      <c r="I14" s="89"/>
    </row>
    <row r="15">
      <c r="A15" s="82">
        <v>13.0</v>
      </c>
      <c r="B15" s="84"/>
      <c r="C15" s="84"/>
      <c r="D15" s="84"/>
      <c r="E15" s="84"/>
      <c r="F15" s="89"/>
      <c r="G15" s="89"/>
      <c r="H15" s="89"/>
      <c r="I15" s="89"/>
    </row>
    <row r="16">
      <c r="A16" s="82">
        <v>14.0</v>
      </c>
      <c r="B16" s="84"/>
      <c r="C16" s="84"/>
      <c r="D16" s="84"/>
      <c r="E16" s="84"/>
      <c r="F16" s="89"/>
      <c r="G16" s="89"/>
      <c r="H16" s="89"/>
      <c r="I16" s="89"/>
    </row>
    <row r="17">
      <c r="A17" s="82">
        <v>15.0</v>
      </c>
      <c r="B17" s="89"/>
      <c r="C17" s="89"/>
      <c r="D17" s="89"/>
      <c r="E17" s="89"/>
      <c r="F17" s="89"/>
      <c r="G17" s="89"/>
      <c r="H17" s="89"/>
      <c r="I17" s="89"/>
    </row>
    <row r="18">
      <c r="A18" s="82">
        <v>16.0</v>
      </c>
      <c r="B18" s="89"/>
      <c r="C18" s="89"/>
      <c r="D18" s="89"/>
      <c r="E18" s="89"/>
      <c r="F18" s="89"/>
      <c r="G18" s="89"/>
      <c r="H18" s="89"/>
      <c r="I18" s="89"/>
    </row>
    <row r="22">
      <c r="A22" s="71" t="s">
        <v>244</v>
      </c>
      <c r="B22" s="4"/>
      <c r="C22" s="4"/>
      <c r="D22" s="4"/>
      <c r="E22" s="4"/>
      <c r="F22" s="4"/>
      <c r="G22" s="4"/>
      <c r="H22" s="4"/>
      <c r="I22" s="8"/>
    </row>
    <row r="23">
      <c r="A23" s="75" t="s">
        <v>5</v>
      </c>
      <c r="B23" s="77"/>
      <c r="C23" s="80" t="s">
        <v>6</v>
      </c>
      <c r="D23" s="75" t="s">
        <v>17</v>
      </c>
      <c r="E23" s="75" t="s">
        <v>19</v>
      </c>
      <c r="F23" s="80" t="s">
        <v>20</v>
      </c>
      <c r="G23" s="80" t="s">
        <v>21</v>
      </c>
      <c r="H23" s="80" t="s">
        <v>22</v>
      </c>
      <c r="I23" s="80" t="s">
        <v>21</v>
      </c>
    </row>
    <row r="24">
      <c r="A24" s="82">
        <v>1.0</v>
      </c>
      <c r="B24" s="84" t="s">
        <v>247</v>
      </c>
      <c r="C24" s="84">
        <v>1.0</v>
      </c>
      <c r="D24" s="84"/>
      <c r="E24" s="87">
        <v>8500.0</v>
      </c>
      <c r="F24" s="84"/>
      <c r="G24" s="84"/>
      <c r="H24" s="89"/>
      <c r="I24" s="89"/>
    </row>
    <row r="25">
      <c r="A25" s="82">
        <v>2.0</v>
      </c>
      <c r="B25" s="84" t="s">
        <v>248</v>
      </c>
      <c r="C25" s="84">
        <v>2.0</v>
      </c>
      <c r="D25" s="84"/>
      <c r="E25" s="87">
        <v>4500.0</v>
      </c>
      <c r="F25" s="84"/>
      <c r="G25" s="84"/>
      <c r="H25" s="89"/>
      <c r="I25" s="89"/>
    </row>
    <row r="26">
      <c r="A26" s="82">
        <v>3.0</v>
      </c>
      <c r="B26" s="84"/>
      <c r="C26" s="84"/>
      <c r="D26" s="84"/>
      <c r="E26" s="87"/>
      <c r="F26" s="84"/>
      <c r="G26" s="89"/>
      <c r="H26" s="89"/>
      <c r="I26" s="89"/>
    </row>
    <row r="27">
      <c r="A27" s="82">
        <v>4.0</v>
      </c>
      <c r="B27" s="84"/>
      <c r="C27" s="84"/>
      <c r="D27" s="89"/>
      <c r="E27" s="87">
        <f>E24+E25+E25</f>
        <v>17500</v>
      </c>
      <c r="F27" s="89"/>
      <c r="G27" s="89"/>
      <c r="H27" s="89"/>
      <c r="I27" s="89"/>
    </row>
    <row r="28">
      <c r="A28" s="82">
        <v>5.0</v>
      </c>
      <c r="B28" s="84"/>
      <c r="C28" s="84"/>
      <c r="D28" s="92"/>
      <c r="E28" s="87"/>
      <c r="F28" s="89"/>
      <c r="G28" s="89"/>
      <c r="H28" s="89"/>
      <c r="I28" s="89"/>
    </row>
    <row r="29">
      <c r="A29" s="82">
        <v>6.0</v>
      </c>
      <c r="B29" s="84"/>
      <c r="C29" s="84"/>
      <c r="D29" s="84"/>
      <c r="E29" s="84"/>
      <c r="F29" s="89"/>
      <c r="G29" s="89"/>
      <c r="H29" s="89"/>
      <c r="I29" s="89"/>
    </row>
    <row r="30">
      <c r="A30" s="99"/>
      <c r="B30" s="100"/>
      <c r="C30" s="100"/>
      <c r="D30" s="100"/>
      <c r="E30" s="100"/>
      <c r="F30" s="101"/>
      <c r="G30" s="101"/>
      <c r="H30" s="101"/>
      <c r="I30" s="101"/>
    </row>
    <row r="31">
      <c r="A31" s="99"/>
      <c r="B31" s="100"/>
      <c r="C31" s="101"/>
      <c r="D31" s="101"/>
      <c r="E31" s="101"/>
      <c r="F31" s="101"/>
      <c r="G31" s="101"/>
      <c r="H31" s="101"/>
      <c r="I31" s="101"/>
    </row>
    <row r="32">
      <c r="A32" s="99"/>
      <c r="B32" s="100"/>
      <c r="C32" s="100"/>
      <c r="D32" s="100"/>
      <c r="E32" s="100"/>
      <c r="F32" s="101"/>
      <c r="G32" s="101"/>
      <c r="H32" s="101"/>
      <c r="I32" s="101"/>
    </row>
    <row r="33">
      <c r="A33" s="99"/>
      <c r="B33" s="100"/>
      <c r="C33" s="100"/>
      <c r="D33" s="100"/>
      <c r="E33" s="100"/>
      <c r="F33" s="101"/>
      <c r="G33" s="101"/>
      <c r="H33" s="101"/>
      <c r="I33" s="101"/>
    </row>
    <row r="34">
      <c r="A34" s="99"/>
      <c r="B34" s="100"/>
      <c r="C34" s="100"/>
      <c r="D34" s="100"/>
      <c r="E34" s="100"/>
      <c r="F34" s="101"/>
      <c r="G34" s="101"/>
      <c r="H34" s="101"/>
      <c r="I34" s="101"/>
    </row>
    <row r="35">
      <c r="A35" s="99"/>
      <c r="B35" s="100"/>
      <c r="C35" s="100"/>
      <c r="D35" s="100"/>
      <c r="E35" s="100"/>
      <c r="F35" s="101"/>
      <c r="G35" s="101"/>
      <c r="H35" s="101"/>
      <c r="I35" s="101"/>
    </row>
    <row r="36">
      <c r="A36" s="99"/>
      <c r="B36" s="100"/>
      <c r="C36" s="100"/>
      <c r="D36" s="100"/>
      <c r="E36" s="100"/>
      <c r="F36" s="101"/>
      <c r="G36" s="101"/>
      <c r="H36" s="101"/>
      <c r="I36" s="101"/>
    </row>
    <row r="37">
      <c r="A37" s="99"/>
      <c r="B37" s="100"/>
      <c r="C37" s="100"/>
      <c r="D37" s="100"/>
      <c r="E37" s="100"/>
      <c r="F37" s="101"/>
      <c r="G37" s="101"/>
      <c r="H37" s="101"/>
      <c r="I37" s="101"/>
    </row>
    <row r="38">
      <c r="A38" s="99"/>
      <c r="B38" s="101"/>
      <c r="C38" s="101"/>
      <c r="D38" s="101"/>
      <c r="E38" s="101"/>
      <c r="F38" s="101"/>
      <c r="G38" s="101"/>
      <c r="H38" s="101"/>
      <c r="I38" s="101"/>
    </row>
    <row r="39">
      <c r="A39" s="99"/>
      <c r="B39" s="101"/>
      <c r="C39" s="101"/>
      <c r="D39" s="101"/>
      <c r="E39" s="101"/>
      <c r="F39" s="101"/>
      <c r="G39" s="101"/>
      <c r="H39" s="101"/>
      <c r="I39" s="101"/>
    </row>
  </sheetData>
  <mergeCells count="2">
    <mergeCell ref="A1:I1"/>
    <mergeCell ref="A22:I22"/>
  </mergeCell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43"/>
    <col customWidth="1" min="3" max="3" width="8.86"/>
    <col customWidth="1" min="4" max="4" width="13.57"/>
    <col customWidth="1" min="5" max="5" width="11.14"/>
    <col customWidth="1" min="8" max="8" width="17.29"/>
    <col customWidth="1" min="9" max="9" width="20.71"/>
    <col customWidth="1" min="10" max="10" width="15.29"/>
    <col customWidth="1" min="11" max="11" width="11.71"/>
    <col customWidth="1" min="12" max="12" width="14.57"/>
    <col customWidth="1" min="14" max="14" width="16.43"/>
    <col customWidth="1" min="15" max="15" width="10.14"/>
  </cols>
  <sheetData>
    <row r="1">
      <c r="A1" s="3" t="s">
        <v>176</v>
      </c>
      <c r="B1" s="4"/>
      <c r="C1" s="4"/>
      <c r="D1" s="4"/>
      <c r="E1" s="4"/>
      <c r="F1" s="4"/>
      <c r="G1" s="4"/>
      <c r="H1" s="4"/>
      <c r="I1" s="4"/>
      <c r="J1" s="8"/>
      <c r="K1" s="5"/>
      <c r="L1" s="5"/>
      <c r="M1" s="5"/>
      <c r="N1" s="5"/>
    </row>
    <row r="2">
      <c r="A2" s="9" t="s">
        <v>5</v>
      </c>
      <c r="B2" s="12"/>
      <c r="C2" s="16" t="s">
        <v>6</v>
      </c>
      <c r="D2" s="9" t="s">
        <v>17</v>
      </c>
      <c r="E2" s="9"/>
      <c r="F2" s="9" t="s">
        <v>19</v>
      </c>
      <c r="G2" s="16" t="s">
        <v>20</v>
      </c>
      <c r="H2" s="16" t="s">
        <v>21</v>
      </c>
      <c r="I2" s="16" t="s">
        <v>22</v>
      </c>
      <c r="J2" s="16" t="s">
        <v>21</v>
      </c>
      <c r="K2" s="16" t="s">
        <v>23</v>
      </c>
      <c r="L2" s="16" t="s">
        <v>21</v>
      </c>
      <c r="M2" s="73" t="s">
        <v>24</v>
      </c>
      <c r="N2" s="74" t="s">
        <v>21</v>
      </c>
      <c r="O2" s="73" t="s">
        <v>25</v>
      </c>
      <c r="P2" s="74" t="s">
        <v>21</v>
      </c>
    </row>
    <row r="3">
      <c r="A3" s="18">
        <v>1.0</v>
      </c>
      <c r="B3" s="15" t="s">
        <v>177</v>
      </c>
      <c r="C3" s="15">
        <v>10.0</v>
      </c>
      <c r="D3" s="19">
        <v>500.0</v>
      </c>
      <c r="E3" s="19">
        <f t="shared" ref="E3:E12" si="1">C3*D3</f>
        <v>5000</v>
      </c>
      <c r="F3" s="19">
        <v>800.0</v>
      </c>
      <c r="G3" s="15" t="s">
        <v>178</v>
      </c>
      <c r="H3" s="15" t="s">
        <v>45</v>
      </c>
      <c r="I3" s="5"/>
      <c r="J3" s="5"/>
      <c r="K3" s="5"/>
      <c r="L3" s="5"/>
      <c r="M3" s="5"/>
      <c r="N3" s="5"/>
      <c r="O3" s="5"/>
      <c r="P3" s="5"/>
    </row>
    <row r="4">
      <c r="A4" s="18">
        <v>2.0</v>
      </c>
      <c r="B4" s="15" t="s">
        <v>179</v>
      </c>
      <c r="C4" s="15">
        <v>12.0</v>
      </c>
      <c r="D4" s="19">
        <v>500.0</v>
      </c>
      <c r="E4" s="19">
        <f t="shared" si="1"/>
        <v>6000</v>
      </c>
      <c r="F4" s="19">
        <v>800.0</v>
      </c>
      <c r="G4" s="15"/>
      <c r="H4" s="5"/>
      <c r="I4" s="5"/>
      <c r="J4" s="5"/>
      <c r="K4" s="5"/>
      <c r="L4" s="5"/>
      <c r="M4" s="5"/>
      <c r="N4" s="5"/>
      <c r="O4" s="5"/>
      <c r="P4" s="5"/>
    </row>
    <row r="5">
      <c r="A5" s="18">
        <v>3.0</v>
      </c>
      <c r="B5" s="15" t="s">
        <v>180</v>
      </c>
      <c r="C5" s="15">
        <v>9.0</v>
      </c>
      <c r="D5" s="19">
        <v>500.0</v>
      </c>
      <c r="E5" s="19">
        <f t="shared" si="1"/>
        <v>4500</v>
      </c>
      <c r="F5" s="19">
        <v>800.0</v>
      </c>
      <c r="G5" s="78" t="s">
        <v>181</v>
      </c>
      <c r="H5" s="5"/>
      <c r="I5" s="5"/>
      <c r="J5" s="5"/>
      <c r="K5" s="5"/>
      <c r="L5" s="5"/>
      <c r="M5" s="5"/>
      <c r="N5" s="5"/>
      <c r="O5" s="5"/>
      <c r="P5" s="5"/>
    </row>
    <row r="6">
      <c r="A6" s="18">
        <v>4.0</v>
      </c>
      <c r="B6" s="15" t="s">
        <v>185</v>
      </c>
      <c r="C6" s="15">
        <v>10.0</v>
      </c>
      <c r="D6" s="19">
        <v>500.0</v>
      </c>
      <c r="E6" s="19">
        <f t="shared" si="1"/>
        <v>5000</v>
      </c>
      <c r="F6" s="19">
        <v>800.0</v>
      </c>
      <c r="G6" s="15" t="s">
        <v>186</v>
      </c>
      <c r="H6" s="5"/>
      <c r="I6" s="15" t="s">
        <v>187</v>
      </c>
      <c r="J6" s="15" t="s">
        <v>57</v>
      </c>
      <c r="K6" s="39" t="s">
        <v>188</v>
      </c>
      <c r="L6" s="39" t="s">
        <v>189</v>
      </c>
      <c r="M6" s="5"/>
      <c r="N6" s="5"/>
      <c r="O6" s="5"/>
      <c r="P6" s="5"/>
    </row>
    <row r="7">
      <c r="A7" s="18">
        <v>5.0</v>
      </c>
      <c r="B7" s="15" t="s">
        <v>190</v>
      </c>
      <c r="C7" s="15">
        <v>6.0</v>
      </c>
      <c r="D7" s="19">
        <v>1800.0</v>
      </c>
      <c r="E7" s="19">
        <f t="shared" si="1"/>
        <v>10800</v>
      </c>
      <c r="F7" s="19">
        <v>2500.0</v>
      </c>
      <c r="G7" s="15"/>
      <c r="H7" s="5"/>
      <c r="I7" s="39" t="s">
        <v>191</v>
      </c>
      <c r="J7" s="39" t="s">
        <v>189</v>
      </c>
      <c r="K7" s="78" t="s">
        <v>192</v>
      </c>
      <c r="L7" s="78" t="s">
        <v>189</v>
      </c>
      <c r="M7" s="5"/>
      <c r="N7" s="5"/>
      <c r="O7" s="5"/>
      <c r="P7" s="5"/>
    </row>
    <row r="8">
      <c r="A8" s="18">
        <v>6.0</v>
      </c>
      <c r="B8" s="15" t="s">
        <v>193</v>
      </c>
      <c r="C8" s="15">
        <v>6.0</v>
      </c>
      <c r="D8" s="19">
        <v>1800.0</v>
      </c>
      <c r="E8" s="19">
        <f t="shared" si="1"/>
        <v>10800</v>
      </c>
      <c r="F8" s="19">
        <v>2500.0</v>
      </c>
      <c r="G8" s="15" t="s">
        <v>194</v>
      </c>
      <c r="H8" s="5"/>
      <c r="I8" s="15" t="s">
        <v>187</v>
      </c>
      <c r="J8" s="15" t="s">
        <v>57</v>
      </c>
      <c r="K8" s="15" t="s">
        <v>195</v>
      </c>
      <c r="L8" s="15" t="s">
        <v>196</v>
      </c>
      <c r="M8" s="39" t="s">
        <v>191</v>
      </c>
      <c r="N8" s="39" t="s">
        <v>189</v>
      </c>
      <c r="O8" s="39" t="s">
        <v>197</v>
      </c>
      <c r="P8" s="39" t="s">
        <v>45</v>
      </c>
    </row>
    <row r="9">
      <c r="A9" s="18">
        <v>7.0</v>
      </c>
      <c r="B9" s="15" t="s">
        <v>198</v>
      </c>
      <c r="C9" s="15">
        <v>6.0</v>
      </c>
      <c r="D9" s="19">
        <v>1800.0</v>
      </c>
      <c r="E9" s="19">
        <f t="shared" si="1"/>
        <v>10800</v>
      </c>
      <c r="F9" s="19">
        <v>2500.0</v>
      </c>
      <c r="G9" s="39"/>
      <c r="H9" s="5"/>
      <c r="I9" s="15" t="s">
        <v>199</v>
      </c>
      <c r="J9" s="5"/>
      <c r="K9" s="15" t="s">
        <v>200</v>
      </c>
      <c r="L9" s="15" t="s">
        <v>201</v>
      </c>
      <c r="M9" s="39" t="s">
        <v>188</v>
      </c>
      <c r="N9" s="39" t="s">
        <v>189</v>
      </c>
      <c r="O9" s="39"/>
      <c r="P9" s="39"/>
    </row>
    <row r="10">
      <c r="A10" s="18">
        <v>8.0</v>
      </c>
      <c r="B10" s="15" t="s">
        <v>202</v>
      </c>
      <c r="C10" s="15">
        <v>6.0</v>
      </c>
      <c r="D10" s="19">
        <v>1800.0</v>
      </c>
      <c r="E10" s="19">
        <f t="shared" si="1"/>
        <v>10800</v>
      </c>
      <c r="F10" s="19">
        <v>2500.0</v>
      </c>
      <c r="G10" s="15" t="s">
        <v>203</v>
      </c>
      <c r="H10" s="15" t="s">
        <v>45</v>
      </c>
      <c r="I10" s="15" t="s">
        <v>204</v>
      </c>
      <c r="J10" s="15" t="s">
        <v>43</v>
      </c>
      <c r="K10" s="15" t="s">
        <v>205</v>
      </c>
      <c r="L10" s="15" t="s">
        <v>206</v>
      </c>
      <c r="M10" s="15" t="s">
        <v>207</v>
      </c>
      <c r="N10" s="15" t="s">
        <v>196</v>
      </c>
      <c r="O10" s="15"/>
      <c r="P10" s="15"/>
    </row>
    <row r="11">
      <c r="A11" s="18">
        <v>9.0</v>
      </c>
      <c r="B11" s="15" t="s">
        <v>208</v>
      </c>
      <c r="C11" s="15">
        <v>6.0</v>
      </c>
      <c r="D11" s="19">
        <v>600.0</v>
      </c>
      <c r="E11" s="19">
        <f t="shared" si="1"/>
        <v>3600</v>
      </c>
      <c r="F11" s="19">
        <v>1100.0</v>
      </c>
      <c r="G11" s="15" t="s">
        <v>205</v>
      </c>
      <c r="H11" s="15" t="s">
        <v>206</v>
      </c>
      <c r="I11" s="5"/>
      <c r="J11" s="5"/>
      <c r="K11" s="5"/>
      <c r="L11" s="5"/>
      <c r="M11" s="5"/>
      <c r="N11" s="5"/>
      <c r="O11" s="5"/>
      <c r="P11" s="5"/>
    </row>
    <row r="12">
      <c r="A12" s="18">
        <v>10.0</v>
      </c>
      <c r="B12" s="15" t="s">
        <v>209</v>
      </c>
      <c r="C12" s="15">
        <v>6.0</v>
      </c>
      <c r="D12" s="19">
        <v>1400.0</v>
      </c>
      <c r="E12" s="19">
        <f t="shared" si="1"/>
        <v>8400</v>
      </c>
      <c r="F12" s="19">
        <v>2000.0</v>
      </c>
      <c r="G12" s="15"/>
      <c r="H12" s="5"/>
      <c r="I12" s="5"/>
      <c r="J12" s="5"/>
      <c r="K12" s="5"/>
      <c r="L12" s="5"/>
      <c r="M12" s="5"/>
      <c r="N12" s="5"/>
      <c r="O12" s="5"/>
      <c r="P12" s="5"/>
    </row>
    <row r="13">
      <c r="A13" s="18">
        <v>11.0</v>
      </c>
      <c r="B13" s="15"/>
      <c r="C13" s="15"/>
      <c r="D13" s="19"/>
      <c r="E13" s="85">
        <f>SUM(E3:E12)</f>
        <v>75700</v>
      </c>
      <c r="F13" s="19"/>
      <c r="G13" s="15"/>
      <c r="H13" s="5"/>
      <c r="I13" s="5"/>
      <c r="J13" s="5"/>
      <c r="K13" s="5"/>
      <c r="L13" s="5"/>
      <c r="M13" s="5"/>
      <c r="N13" s="5"/>
      <c r="O13" s="5"/>
      <c r="P13" s="5"/>
    </row>
    <row r="14">
      <c r="D14" s="33"/>
      <c r="E14" s="33"/>
      <c r="F14" s="33"/>
    </row>
    <row r="15">
      <c r="B15" s="88" t="s">
        <v>213</v>
      </c>
      <c r="C15" s="16" t="s">
        <v>6</v>
      </c>
      <c r="D15" s="41" t="s">
        <v>221</v>
      </c>
      <c r="E15" s="38" t="s">
        <v>222</v>
      </c>
    </row>
    <row r="16">
      <c r="B16" s="15" t="s">
        <v>177</v>
      </c>
      <c r="C16" s="15">
        <v>9.0</v>
      </c>
      <c r="D16" s="38">
        <v>0.0</v>
      </c>
      <c r="E16" s="38">
        <v>5.0</v>
      </c>
      <c r="G16" s="90" t="s">
        <v>176</v>
      </c>
    </row>
    <row r="17">
      <c r="B17" s="15" t="s">
        <v>179</v>
      </c>
      <c r="C17" s="15">
        <v>12.0</v>
      </c>
      <c r="D17" s="38">
        <v>0.0</v>
      </c>
      <c r="E17" s="38">
        <v>12.0</v>
      </c>
      <c r="G17" s="9" t="s">
        <v>5</v>
      </c>
      <c r="H17" s="91" t="s">
        <v>232</v>
      </c>
      <c r="I17" s="9" t="s">
        <v>19</v>
      </c>
    </row>
    <row r="18">
      <c r="B18" s="15" t="s">
        <v>180</v>
      </c>
      <c r="C18" s="15">
        <v>8.0</v>
      </c>
      <c r="D18" s="38">
        <v>0.0</v>
      </c>
      <c r="E18" s="38">
        <v>7.0</v>
      </c>
      <c r="G18" s="18">
        <v>1.0</v>
      </c>
      <c r="H18" s="15" t="s">
        <v>177</v>
      </c>
      <c r="I18" s="94" t="s">
        <v>241</v>
      </c>
    </row>
    <row r="19">
      <c r="B19" s="15" t="s">
        <v>185</v>
      </c>
      <c r="C19" s="15">
        <v>6.0</v>
      </c>
      <c r="D19" s="38">
        <v>0.0</v>
      </c>
      <c r="E19" s="38">
        <v>6.0</v>
      </c>
      <c r="G19" s="18">
        <v>2.0</v>
      </c>
      <c r="H19" s="15" t="s">
        <v>179</v>
      </c>
      <c r="I19" s="94" t="s">
        <v>241</v>
      </c>
    </row>
    <row r="20">
      <c r="B20" s="15" t="s">
        <v>190</v>
      </c>
      <c r="C20" s="15">
        <v>6.0</v>
      </c>
      <c r="D20" s="38">
        <v>2.0</v>
      </c>
      <c r="G20" s="18">
        <v>3.0</v>
      </c>
      <c r="H20" s="15" t="s">
        <v>180</v>
      </c>
      <c r="I20" s="94" t="s">
        <v>241</v>
      </c>
    </row>
    <row r="21">
      <c r="B21" s="15" t="s">
        <v>193</v>
      </c>
      <c r="C21" s="15">
        <v>2.0</v>
      </c>
      <c r="D21" s="38">
        <v>5.0</v>
      </c>
      <c r="G21" s="18">
        <v>4.0</v>
      </c>
      <c r="H21" s="15" t="s">
        <v>185</v>
      </c>
      <c r="I21" s="94" t="s">
        <v>241</v>
      </c>
    </row>
    <row r="22">
      <c r="B22" s="15" t="s">
        <v>198</v>
      </c>
      <c r="C22" s="15">
        <v>2.0</v>
      </c>
      <c r="D22" s="38">
        <v>4.0</v>
      </c>
      <c r="G22" s="18">
        <v>5.0</v>
      </c>
      <c r="H22" s="15" t="s">
        <v>190</v>
      </c>
      <c r="I22" s="94" t="s">
        <v>245</v>
      </c>
    </row>
    <row r="23">
      <c r="B23" s="15" t="s">
        <v>202</v>
      </c>
      <c r="C23" s="15">
        <v>3.0</v>
      </c>
      <c r="D23" s="38">
        <v>4.0</v>
      </c>
      <c r="G23" s="18">
        <v>6.0</v>
      </c>
      <c r="H23" s="15" t="s">
        <v>193</v>
      </c>
      <c r="I23" s="94" t="s">
        <v>245</v>
      </c>
    </row>
    <row r="24">
      <c r="B24" s="15" t="s">
        <v>208</v>
      </c>
      <c r="C24" s="15">
        <v>6.0</v>
      </c>
      <c r="D24" s="38" t="s">
        <v>246</v>
      </c>
      <c r="G24" s="18">
        <v>7.0</v>
      </c>
      <c r="H24" s="15" t="s">
        <v>198</v>
      </c>
      <c r="I24" s="94" t="s">
        <v>245</v>
      </c>
    </row>
    <row r="25">
      <c r="B25" s="15" t="s">
        <v>209</v>
      </c>
      <c r="C25" s="15">
        <v>6.0</v>
      </c>
      <c r="D25" s="38">
        <v>6.0</v>
      </c>
      <c r="G25" s="18">
        <v>8.0</v>
      </c>
      <c r="H25" s="15" t="s">
        <v>202</v>
      </c>
      <c r="I25" s="94" t="s">
        <v>245</v>
      </c>
    </row>
    <row r="26">
      <c r="G26" s="18">
        <v>9.0</v>
      </c>
      <c r="H26" s="15" t="s">
        <v>208</v>
      </c>
      <c r="I26" s="94" t="s">
        <v>249</v>
      </c>
    </row>
    <row r="27">
      <c r="B27" s="98">
        <v>46057.0</v>
      </c>
      <c r="C27" s="16" t="s">
        <v>6</v>
      </c>
      <c r="D27" s="5"/>
      <c r="G27" s="18">
        <v>10.0</v>
      </c>
      <c r="H27" s="15" t="s">
        <v>209</v>
      </c>
      <c r="I27" s="94" t="s">
        <v>253</v>
      </c>
    </row>
    <row r="28">
      <c r="B28" s="15" t="s">
        <v>177</v>
      </c>
      <c r="C28" s="15">
        <v>9.0</v>
      </c>
      <c r="D28" s="5"/>
      <c r="G28" s="1"/>
      <c r="H28" s="38"/>
    </row>
    <row r="29">
      <c r="B29" s="15" t="s">
        <v>179</v>
      </c>
      <c r="C29" s="15">
        <v>12.0</v>
      </c>
      <c r="D29" s="5"/>
    </row>
    <row r="30">
      <c r="B30" s="15" t="s">
        <v>180</v>
      </c>
      <c r="C30" s="15">
        <v>8.0</v>
      </c>
      <c r="D30" s="5"/>
    </row>
    <row r="31">
      <c r="B31" s="15" t="s">
        <v>185</v>
      </c>
      <c r="C31" s="15">
        <v>6.0</v>
      </c>
      <c r="D31" s="5"/>
    </row>
    <row r="32">
      <c r="B32" s="15" t="s">
        <v>190</v>
      </c>
      <c r="C32" s="15">
        <v>1.0</v>
      </c>
      <c r="D32" s="5"/>
    </row>
    <row r="33">
      <c r="B33" s="15" t="s">
        <v>193</v>
      </c>
      <c r="C33" s="102">
        <v>0.0</v>
      </c>
      <c r="D33" s="5"/>
    </row>
    <row r="34">
      <c r="B34" s="15" t="s">
        <v>198</v>
      </c>
      <c r="C34" s="15">
        <v>2.0</v>
      </c>
      <c r="D34" s="103" t="s">
        <v>260</v>
      </c>
    </row>
    <row r="35">
      <c r="B35" s="15" t="s">
        <v>202</v>
      </c>
      <c r="C35" s="15">
        <v>2.0</v>
      </c>
      <c r="D35" s="5"/>
    </row>
    <row r="36">
      <c r="B36" s="15" t="s">
        <v>208</v>
      </c>
      <c r="C36" s="15">
        <v>5.0</v>
      </c>
      <c r="D36" s="5"/>
    </row>
    <row r="37">
      <c r="B37" s="15" t="s">
        <v>209</v>
      </c>
      <c r="C37" s="15">
        <v>6.0</v>
      </c>
      <c r="D37" s="5"/>
    </row>
    <row r="39">
      <c r="B39" s="98">
        <v>46176.0</v>
      </c>
      <c r="C39" s="16" t="s">
        <v>6</v>
      </c>
    </row>
    <row r="40">
      <c r="B40" s="15" t="s">
        <v>177</v>
      </c>
      <c r="C40" s="15"/>
    </row>
    <row r="41">
      <c r="B41" s="15" t="s">
        <v>179</v>
      </c>
      <c r="C41" s="15"/>
    </row>
    <row r="42">
      <c r="B42" s="15" t="s">
        <v>180</v>
      </c>
      <c r="C42" s="15"/>
    </row>
    <row r="43">
      <c r="B43" s="15" t="s">
        <v>185</v>
      </c>
      <c r="C43" s="15"/>
    </row>
    <row r="44">
      <c r="B44" s="15" t="s">
        <v>190</v>
      </c>
      <c r="C44" s="15">
        <v>1.0</v>
      </c>
    </row>
    <row r="45">
      <c r="B45" s="15" t="s">
        <v>193</v>
      </c>
      <c r="C45" s="39"/>
    </row>
    <row r="46">
      <c r="B46" s="15" t="s">
        <v>198</v>
      </c>
      <c r="C46" s="15">
        <v>0.0</v>
      </c>
    </row>
    <row r="47">
      <c r="B47" s="15" t="s">
        <v>202</v>
      </c>
      <c r="C47" s="15">
        <v>2.0</v>
      </c>
    </row>
    <row r="48">
      <c r="B48" s="15" t="s">
        <v>208</v>
      </c>
      <c r="C48" s="15"/>
    </row>
    <row r="49">
      <c r="B49" s="15" t="s">
        <v>209</v>
      </c>
      <c r="C49" s="15"/>
    </row>
    <row r="51">
      <c r="B51" s="41" t="s">
        <v>282</v>
      </c>
    </row>
    <row r="52">
      <c r="A52" s="104" t="s">
        <v>176</v>
      </c>
      <c r="B52" s="4"/>
      <c r="C52" s="4"/>
      <c r="D52" s="4"/>
      <c r="E52" s="4"/>
      <c r="F52" s="4"/>
      <c r="G52" s="4"/>
      <c r="H52" s="4"/>
      <c r="I52" s="4"/>
      <c r="J52" s="8"/>
    </row>
    <row r="53">
      <c r="A53" s="105" t="s">
        <v>5</v>
      </c>
      <c r="B53" s="106"/>
      <c r="C53" s="74" t="s">
        <v>6</v>
      </c>
      <c r="D53" s="105" t="s">
        <v>17</v>
      </c>
      <c r="E53" s="106"/>
      <c r="F53" s="105" t="s">
        <v>19</v>
      </c>
      <c r="G53" s="74" t="s">
        <v>20</v>
      </c>
      <c r="H53" s="74" t="s">
        <v>21</v>
      </c>
      <c r="I53" s="74" t="s">
        <v>22</v>
      </c>
      <c r="J53" s="74" t="s">
        <v>21</v>
      </c>
    </row>
    <row r="54">
      <c r="A54" s="107">
        <v>1.0</v>
      </c>
      <c r="B54" s="108" t="s">
        <v>190</v>
      </c>
      <c r="C54" s="109">
        <v>2.0</v>
      </c>
      <c r="D54" s="19">
        <v>1800.0</v>
      </c>
      <c r="E54" s="111">
        <f t="shared" ref="E54:E58" si="2">C54*D54</f>
        <v>3600</v>
      </c>
      <c r="F54" s="113">
        <v>2500.0</v>
      </c>
      <c r="G54" s="108"/>
      <c r="H54" s="108"/>
      <c r="I54" s="108"/>
      <c r="J54" s="108"/>
    </row>
    <row r="55">
      <c r="A55" s="107">
        <v>2.0</v>
      </c>
      <c r="B55" s="108" t="s">
        <v>193</v>
      </c>
      <c r="C55" s="109">
        <v>2.0</v>
      </c>
      <c r="D55" s="19">
        <v>1800.0</v>
      </c>
      <c r="E55" s="111">
        <f t="shared" si="2"/>
        <v>3600</v>
      </c>
      <c r="F55" s="113">
        <v>2500.0</v>
      </c>
      <c r="G55" s="108"/>
      <c r="H55" s="108"/>
      <c r="I55" s="108"/>
      <c r="J55" s="108"/>
    </row>
    <row r="56">
      <c r="A56" s="107">
        <v>3.0</v>
      </c>
      <c r="B56" s="108" t="s">
        <v>198</v>
      </c>
      <c r="C56" s="109">
        <v>3.0</v>
      </c>
      <c r="D56" s="19">
        <v>1800.0</v>
      </c>
      <c r="E56" s="111">
        <f t="shared" si="2"/>
        <v>5400</v>
      </c>
      <c r="F56" s="111"/>
      <c r="G56" s="117"/>
      <c r="H56" s="108"/>
      <c r="I56" s="108"/>
      <c r="J56" s="108"/>
    </row>
    <row r="57">
      <c r="A57" s="107">
        <v>4.0</v>
      </c>
      <c r="B57" s="108" t="s">
        <v>202</v>
      </c>
      <c r="C57" s="109">
        <v>1.0</v>
      </c>
      <c r="D57" s="19">
        <v>1800.0</v>
      </c>
      <c r="E57" s="111">
        <f t="shared" si="2"/>
        <v>1800</v>
      </c>
      <c r="F57" s="111"/>
      <c r="G57" s="108"/>
      <c r="H57" s="108"/>
      <c r="I57" s="108"/>
      <c r="J57" s="108"/>
    </row>
    <row r="58">
      <c r="A58" s="107">
        <v>5.0</v>
      </c>
      <c r="B58" s="108" t="s">
        <v>208</v>
      </c>
      <c r="C58" s="109">
        <v>3.0</v>
      </c>
      <c r="D58" s="19">
        <v>600.0</v>
      </c>
      <c r="E58" s="111">
        <f t="shared" si="2"/>
        <v>1800</v>
      </c>
      <c r="F58" s="111"/>
      <c r="G58" s="108"/>
      <c r="H58" s="108"/>
      <c r="I58" s="117"/>
      <c r="J58" s="117"/>
    </row>
    <row r="59">
      <c r="A59" s="107">
        <v>6.0</v>
      </c>
      <c r="B59" s="108"/>
      <c r="C59" s="120"/>
      <c r="D59" s="111"/>
      <c r="E59" s="111"/>
      <c r="F59" s="111"/>
      <c r="G59" s="108"/>
      <c r="H59" s="108"/>
      <c r="I59" s="108"/>
      <c r="J59" s="108"/>
    </row>
    <row r="60">
      <c r="E60" s="33">
        <f>SUM(E54:E58)</f>
        <v>16200</v>
      </c>
    </row>
  </sheetData>
  <mergeCells count="3">
    <mergeCell ref="A1:J1"/>
    <mergeCell ref="G16:I16"/>
    <mergeCell ref="A52:J5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7.0"/>
    <col customWidth="1" min="3" max="3" width="11.71"/>
    <col customWidth="1" min="4" max="4" width="28.86"/>
    <col customWidth="1" min="6" max="6" width="13.71"/>
    <col customWidth="1" min="7" max="8" width="13.86"/>
    <col customWidth="1" min="9" max="9" width="10.29"/>
    <col customWidth="1" min="10" max="10" width="11.29"/>
    <col customWidth="1" min="13" max="13" width="31.57"/>
  </cols>
  <sheetData>
    <row r="3">
      <c r="B3" s="2"/>
      <c r="C3" s="7" t="s">
        <v>2</v>
      </c>
      <c r="D3" s="110" t="s">
        <v>4</v>
      </c>
      <c r="E3" s="110" t="s">
        <v>6</v>
      </c>
      <c r="F3" s="110" t="s">
        <v>17</v>
      </c>
      <c r="G3" s="110" t="s">
        <v>323</v>
      </c>
      <c r="H3" s="110" t="s">
        <v>19</v>
      </c>
      <c r="I3" s="110" t="s">
        <v>10</v>
      </c>
      <c r="J3" s="112"/>
      <c r="K3" s="112"/>
      <c r="L3" s="114"/>
    </row>
    <row r="4">
      <c r="B4" s="116">
        <v>1.0</v>
      </c>
      <c r="C4" s="118"/>
      <c r="D4" s="116" t="s">
        <v>342</v>
      </c>
      <c r="E4" s="116">
        <v>5.0</v>
      </c>
      <c r="F4" s="119">
        <v>500.0</v>
      </c>
      <c r="G4" s="119">
        <f t="shared" ref="G4:G9" si="1">E4*F4</f>
        <v>2500</v>
      </c>
      <c r="H4" s="119">
        <v>900.0</v>
      </c>
      <c r="I4" s="121" t="s">
        <v>204</v>
      </c>
      <c r="J4" s="116" t="s">
        <v>348</v>
      </c>
      <c r="K4" s="116"/>
      <c r="L4" s="114"/>
      <c r="M4" s="116" t="s">
        <v>342</v>
      </c>
      <c r="N4" s="15">
        <v>5.0</v>
      </c>
      <c r="O4" s="15" t="s">
        <v>350</v>
      </c>
      <c r="P4" s="5"/>
    </row>
    <row r="5">
      <c r="B5" s="116">
        <v>2.0</v>
      </c>
      <c r="C5" s="118"/>
      <c r="D5" s="116" t="s">
        <v>351</v>
      </c>
      <c r="E5" s="116">
        <v>5.0</v>
      </c>
      <c r="F5" s="119">
        <v>500.0</v>
      </c>
      <c r="G5" s="119">
        <f t="shared" si="1"/>
        <v>2500</v>
      </c>
      <c r="H5" s="119">
        <v>900.0</v>
      </c>
      <c r="I5" s="116" t="s">
        <v>353</v>
      </c>
      <c r="J5" s="118"/>
      <c r="K5" s="118"/>
      <c r="L5" s="114"/>
      <c r="M5" s="116" t="s">
        <v>351</v>
      </c>
      <c r="N5" s="15">
        <v>5.0</v>
      </c>
      <c r="O5" s="15" t="s">
        <v>350</v>
      </c>
      <c r="P5" s="5"/>
    </row>
    <row r="6">
      <c r="B6" s="116">
        <v>3.0</v>
      </c>
      <c r="C6" s="118"/>
      <c r="D6" s="116" t="s">
        <v>355</v>
      </c>
      <c r="E6" s="116">
        <v>5.0</v>
      </c>
      <c r="F6" s="119">
        <v>1000.0</v>
      </c>
      <c r="G6" s="119">
        <f t="shared" si="1"/>
        <v>5000</v>
      </c>
      <c r="H6" s="119">
        <v>1500.0</v>
      </c>
      <c r="I6" s="121" t="s">
        <v>35</v>
      </c>
      <c r="J6" s="16" t="s">
        <v>35</v>
      </c>
      <c r="K6" s="118"/>
      <c r="L6" s="114"/>
      <c r="M6" s="116" t="s">
        <v>355</v>
      </c>
      <c r="N6" s="15">
        <v>4.0</v>
      </c>
      <c r="O6" s="15" t="s">
        <v>350</v>
      </c>
      <c r="P6" s="15">
        <v>1000.0</v>
      </c>
    </row>
    <row r="7">
      <c r="B7" s="116">
        <v>4.0</v>
      </c>
      <c r="C7" s="118"/>
      <c r="D7" s="116" t="s">
        <v>357</v>
      </c>
      <c r="E7" s="116">
        <v>5.0</v>
      </c>
      <c r="F7" s="119">
        <v>1000.0</v>
      </c>
      <c r="G7" s="119">
        <f t="shared" si="1"/>
        <v>5000</v>
      </c>
      <c r="H7" s="119">
        <v>1500.0</v>
      </c>
      <c r="I7" s="116" t="s">
        <v>359</v>
      </c>
      <c r="J7" s="114"/>
      <c r="K7" s="118"/>
      <c r="L7" s="114"/>
      <c r="M7" s="116" t="s">
        <v>357</v>
      </c>
      <c r="N7" s="15">
        <v>4.0</v>
      </c>
      <c r="O7" s="15" t="s">
        <v>350</v>
      </c>
      <c r="P7" s="15">
        <v>1000.0</v>
      </c>
    </row>
    <row r="8">
      <c r="B8" s="116">
        <v>5.0</v>
      </c>
      <c r="C8" s="118"/>
      <c r="D8" s="116" t="s">
        <v>360</v>
      </c>
      <c r="E8" s="116">
        <v>10.0</v>
      </c>
      <c r="F8" s="119">
        <v>1900.0</v>
      </c>
      <c r="G8" s="119">
        <f t="shared" si="1"/>
        <v>19000</v>
      </c>
      <c r="H8" s="119">
        <v>2400.0</v>
      </c>
      <c r="I8" s="116" t="s">
        <v>361</v>
      </c>
      <c r="J8" s="118"/>
      <c r="K8" s="118"/>
      <c r="L8" s="114"/>
      <c r="M8" s="116" t="s">
        <v>360</v>
      </c>
      <c r="N8" s="15">
        <v>7.0</v>
      </c>
      <c r="O8" s="15" t="s">
        <v>350</v>
      </c>
      <c r="P8" s="15">
        <v>5700.0</v>
      </c>
    </row>
    <row r="9">
      <c r="B9" s="116">
        <v>6.0</v>
      </c>
      <c r="C9" s="118"/>
      <c r="D9" s="116" t="s">
        <v>363</v>
      </c>
      <c r="E9" s="116">
        <v>5.0</v>
      </c>
      <c r="F9" s="119">
        <v>1900.0</v>
      </c>
      <c r="G9" s="119">
        <f t="shared" si="1"/>
        <v>9500</v>
      </c>
      <c r="H9" s="119">
        <v>2400.0</v>
      </c>
      <c r="I9" s="118"/>
      <c r="J9" s="118"/>
      <c r="K9" s="118"/>
      <c r="L9" s="114"/>
      <c r="M9" s="116" t="s">
        <v>363</v>
      </c>
      <c r="N9" s="15">
        <v>4.0</v>
      </c>
      <c r="O9" s="15" t="s">
        <v>350</v>
      </c>
      <c r="P9" s="15">
        <v>1900.0</v>
      </c>
    </row>
    <row r="10">
      <c r="B10" s="118"/>
      <c r="C10" s="118"/>
      <c r="E10" s="122">
        <f>SUM(E4:E9)</f>
        <v>35</v>
      </c>
      <c r="F10" s="123"/>
      <c r="G10" s="123"/>
      <c r="H10" s="123"/>
      <c r="I10" s="118"/>
      <c r="J10" s="118"/>
      <c r="K10" s="118"/>
      <c r="L10" s="114"/>
      <c r="N10" s="40">
        <f>SUM(N4:N9)</f>
        <v>29</v>
      </c>
      <c r="P10" s="40">
        <f>SUM(P6:P9)</f>
        <v>9600</v>
      </c>
    </row>
    <row r="11">
      <c r="B11" s="118"/>
      <c r="C11" s="18" t="s">
        <v>366</v>
      </c>
      <c r="D11" s="116" t="s">
        <v>120</v>
      </c>
      <c r="E11" s="118"/>
      <c r="F11" s="123"/>
      <c r="G11" s="123"/>
      <c r="H11" s="123"/>
      <c r="I11" s="118"/>
      <c r="J11" s="118"/>
      <c r="K11" s="118"/>
      <c r="L11" s="114"/>
    </row>
    <row r="12">
      <c r="B12" s="118"/>
      <c r="C12" s="118"/>
      <c r="D12" s="116" t="s">
        <v>367</v>
      </c>
      <c r="E12" s="116">
        <v>7.0</v>
      </c>
      <c r="F12" s="119">
        <v>13300.0</v>
      </c>
      <c r="G12" s="119"/>
      <c r="H12" s="119">
        <v>16800.0</v>
      </c>
      <c r="I12" s="118"/>
      <c r="J12" s="118"/>
      <c r="K12" s="118"/>
      <c r="L12" s="114"/>
      <c r="M12" s="38">
        <f>35-29</f>
        <v>6</v>
      </c>
    </row>
    <row r="13">
      <c r="B13" s="118"/>
      <c r="C13" s="118"/>
      <c r="D13" s="116" t="s">
        <v>368</v>
      </c>
      <c r="E13" s="116">
        <v>7.0</v>
      </c>
      <c r="F13" s="119">
        <v>7000.0</v>
      </c>
      <c r="G13" s="119"/>
      <c r="H13" s="119">
        <v>10500.0</v>
      </c>
      <c r="I13" s="118"/>
      <c r="J13" s="118"/>
      <c r="K13" s="118"/>
      <c r="L13" s="114"/>
      <c r="M13" s="38">
        <v>5.0</v>
      </c>
    </row>
    <row r="14">
      <c r="B14" s="118"/>
      <c r="C14" s="118"/>
      <c r="D14" s="116" t="s">
        <v>369</v>
      </c>
      <c r="E14" s="116">
        <v>5.0</v>
      </c>
      <c r="F14" s="119">
        <v>2500.0</v>
      </c>
      <c r="G14" s="119"/>
      <c r="H14" s="119">
        <v>4500.0</v>
      </c>
      <c r="I14" s="118"/>
      <c r="J14" s="118"/>
      <c r="K14" s="118"/>
      <c r="L14" s="114"/>
    </row>
    <row r="15">
      <c r="B15" s="118"/>
      <c r="C15" s="118"/>
      <c r="D15" s="118"/>
      <c r="E15" s="118"/>
      <c r="F15" s="129">
        <f>SUM(F12:F14)</f>
        <v>22800</v>
      </c>
      <c r="G15" s="123"/>
      <c r="H15" s="123">
        <f>SUM(H12:H14)</f>
        <v>31800</v>
      </c>
      <c r="I15" s="118"/>
      <c r="J15" s="118"/>
      <c r="K15" s="118"/>
      <c r="L15" s="114"/>
    </row>
    <row r="16">
      <c r="B16" s="118"/>
      <c r="C16" s="118"/>
      <c r="D16" s="118"/>
      <c r="E16" s="18" t="s">
        <v>370</v>
      </c>
      <c r="F16" s="123">
        <f>H15-F15</f>
        <v>9000</v>
      </c>
      <c r="G16" s="123"/>
      <c r="H16" s="123"/>
      <c r="I16" s="118"/>
      <c r="J16" s="118"/>
      <c r="K16" s="118"/>
      <c r="L16" s="114"/>
    </row>
    <row r="17">
      <c r="B17" s="118"/>
      <c r="C17" s="118"/>
      <c r="D17" s="133" t="s">
        <v>372</v>
      </c>
      <c r="E17" s="118"/>
      <c r="F17" s="123"/>
      <c r="G17" s="134" t="s">
        <v>323</v>
      </c>
      <c r="H17" s="123"/>
      <c r="I17" s="118"/>
      <c r="J17" s="118"/>
      <c r="K17" s="118"/>
      <c r="L17" s="114"/>
    </row>
    <row r="18">
      <c r="B18" s="116">
        <v>1.0</v>
      </c>
      <c r="C18" s="118"/>
      <c r="D18" s="116" t="s">
        <v>342</v>
      </c>
      <c r="E18" s="116">
        <v>3.0</v>
      </c>
      <c r="F18" s="119">
        <v>500.0</v>
      </c>
      <c r="G18" s="119">
        <f t="shared" ref="G18:G23" si="2">E18*F18</f>
        <v>1500</v>
      </c>
      <c r="H18" s="119">
        <v>900.0</v>
      </c>
      <c r="I18" s="116" t="s">
        <v>381</v>
      </c>
      <c r="J18" s="116" t="s">
        <v>382</v>
      </c>
      <c r="K18" s="116" t="s">
        <v>383</v>
      </c>
      <c r="L18" s="114"/>
    </row>
    <row r="19">
      <c r="B19" s="116">
        <v>2.0</v>
      </c>
      <c r="C19" s="118"/>
      <c r="D19" s="116" t="s">
        <v>351</v>
      </c>
      <c r="E19" s="116">
        <v>2.0</v>
      </c>
      <c r="F19" s="119">
        <v>500.0</v>
      </c>
      <c r="G19" s="119">
        <f t="shared" si="2"/>
        <v>1000</v>
      </c>
      <c r="H19" s="119">
        <v>900.0</v>
      </c>
      <c r="I19" s="138" t="s">
        <v>384</v>
      </c>
      <c r="J19" s="116" t="s">
        <v>387</v>
      </c>
      <c r="K19" s="118"/>
      <c r="L19" s="114"/>
    </row>
    <row r="20">
      <c r="B20" s="116">
        <v>3.0</v>
      </c>
      <c r="C20" s="118"/>
      <c r="D20" s="116" t="s">
        <v>355</v>
      </c>
      <c r="E20" s="116">
        <v>2.0</v>
      </c>
      <c r="F20" s="119">
        <v>1000.0</v>
      </c>
      <c r="G20" s="119">
        <f t="shared" si="2"/>
        <v>2000</v>
      </c>
      <c r="H20" s="119">
        <v>1500.0</v>
      </c>
      <c r="I20" s="116" t="s">
        <v>389</v>
      </c>
      <c r="J20" s="118"/>
      <c r="K20" s="118"/>
      <c r="L20" s="114"/>
    </row>
    <row r="21">
      <c r="B21" s="116">
        <v>4.0</v>
      </c>
      <c r="C21" s="118"/>
      <c r="D21" s="116" t="s">
        <v>357</v>
      </c>
      <c r="E21" s="116">
        <v>1.0</v>
      </c>
      <c r="F21" s="119">
        <v>1000.0</v>
      </c>
      <c r="G21" s="119">
        <f t="shared" si="2"/>
        <v>1000</v>
      </c>
      <c r="H21" s="119">
        <v>1500.0</v>
      </c>
      <c r="I21" s="5"/>
      <c r="J21" s="5"/>
      <c r="K21" s="5"/>
    </row>
    <row r="22">
      <c r="B22" s="116">
        <v>5.0</v>
      </c>
      <c r="C22" s="118"/>
      <c r="D22" s="116" t="s">
        <v>360</v>
      </c>
      <c r="E22" s="116">
        <v>4.0</v>
      </c>
      <c r="F22" s="119">
        <v>1900.0</v>
      </c>
      <c r="G22" s="119">
        <f t="shared" si="2"/>
        <v>7600</v>
      </c>
      <c r="H22" s="119">
        <v>2400.0</v>
      </c>
      <c r="I22" s="15" t="s">
        <v>381</v>
      </c>
      <c r="J22" s="5"/>
      <c r="K22" s="5"/>
    </row>
    <row r="23">
      <c r="B23" s="116">
        <v>6.0</v>
      </c>
      <c r="C23" s="118"/>
      <c r="D23" s="116" t="s">
        <v>363</v>
      </c>
      <c r="E23" s="116">
        <v>4.0</v>
      </c>
      <c r="F23" s="119">
        <v>1900.0</v>
      </c>
      <c r="G23" s="119">
        <f t="shared" si="2"/>
        <v>7600</v>
      </c>
      <c r="H23" s="119">
        <v>2400.0</v>
      </c>
      <c r="I23" s="5"/>
      <c r="J23" s="5"/>
      <c r="K23" s="5"/>
    </row>
    <row r="24">
      <c r="B24" s="5"/>
      <c r="C24" s="5"/>
      <c r="D24" s="5"/>
      <c r="E24" s="5"/>
      <c r="F24" s="24"/>
      <c r="G24" s="24"/>
      <c r="H24" s="24"/>
      <c r="I24" s="5"/>
      <c r="J24" s="5"/>
      <c r="K24" s="5"/>
    </row>
    <row r="25">
      <c r="B25" s="5"/>
      <c r="C25" s="5"/>
      <c r="D25" s="133" t="s">
        <v>393</v>
      </c>
      <c r="E25" s="5"/>
      <c r="F25" s="24"/>
      <c r="G25" s="134" t="s">
        <v>323</v>
      </c>
      <c r="H25" s="24"/>
      <c r="I25" s="5"/>
      <c r="J25" s="5"/>
      <c r="K25" s="5"/>
    </row>
    <row r="26">
      <c r="B26" s="116">
        <v>1.0</v>
      </c>
      <c r="C26" s="5"/>
      <c r="D26" s="116" t="s">
        <v>360</v>
      </c>
      <c r="E26" s="15">
        <v>3.0</v>
      </c>
      <c r="F26" s="19">
        <v>1900.0</v>
      </c>
      <c r="G26" s="19">
        <f t="shared" ref="G26:G29" si="3">E26*F26</f>
        <v>5700</v>
      </c>
      <c r="H26" s="19">
        <v>2400.0</v>
      </c>
      <c r="I26" s="15" t="s">
        <v>394</v>
      </c>
      <c r="J26" s="5"/>
      <c r="K26" s="5"/>
    </row>
    <row r="27">
      <c r="B27" s="116">
        <v>2.0</v>
      </c>
      <c r="C27" s="5"/>
      <c r="D27" s="116" t="s">
        <v>363</v>
      </c>
      <c r="E27" s="15">
        <v>4.0</v>
      </c>
      <c r="F27" s="19">
        <v>1900.0</v>
      </c>
      <c r="G27" s="19">
        <f t="shared" si="3"/>
        <v>7600</v>
      </c>
      <c r="H27" s="19">
        <v>2400.0</v>
      </c>
      <c r="I27" s="5"/>
      <c r="J27" s="5"/>
      <c r="K27" s="5"/>
    </row>
    <row r="28">
      <c r="B28" s="116">
        <v>3.0</v>
      </c>
      <c r="C28" s="5"/>
      <c r="D28" s="116" t="s">
        <v>355</v>
      </c>
      <c r="E28" s="15">
        <v>1.0</v>
      </c>
      <c r="F28" s="19">
        <v>1000.0</v>
      </c>
      <c r="G28" s="19">
        <f t="shared" si="3"/>
        <v>1000</v>
      </c>
      <c r="H28" s="19">
        <v>1500.0</v>
      </c>
      <c r="I28" s="5"/>
      <c r="J28" s="5"/>
      <c r="K28" s="5"/>
    </row>
    <row r="29">
      <c r="B29" s="116">
        <v>4.0</v>
      </c>
      <c r="C29" s="5"/>
      <c r="D29" s="116" t="s">
        <v>357</v>
      </c>
      <c r="E29" s="15">
        <v>1.0</v>
      </c>
      <c r="F29" s="19">
        <v>1000.0</v>
      </c>
      <c r="G29" s="19">
        <f t="shared" si="3"/>
        <v>1000</v>
      </c>
      <c r="H29" s="19">
        <v>1500.0</v>
      </c>
      <c r="I29" s="5"/>
      <c r="J29" s="5"/>
      <c r="K29" s="5"/>
    </row>
    <row r="30">
      <c r="B30" s="5"/>
      <c r="C30" s="5"/>
      <c r="D30" s="18"/>
      <c r="E30" s="5"/>
      <c r="F30" s="24"/>
      <c r="G30" s="143"/>
      <c r="H30" s="24"/>
      <c r="I30" s="5"/>
      <c r="J30" s="5"/>
      <c r="K30" s="5"/>
    </row>
    <row r="31">
      <c r="B31" s="5"/>
      <c r="C31" s="5"/>
      <c r="D31" s="18"/>
      <c r="E31" s="15"/>
      <c r="F31" s="24"/>
      <c r="G31" s="143"/>
      <c r="H31" s="24"/>
      <c r="I31" s="5"/>
      <c r="J31" s="5"/>
      <c r="K31" s="5"/>
    </row>
    <row r="32">
      <c r="B32" s="5"/>
      <c r="C32" s="5"/>
      <c r="D32" s="18"/>
      <c r="E32" s="15"/>
      <c r="F32" s="24"/>
      <c r="G32" s="143"/>
      <c r="H32" s="24"/>
      <c r="I32" s="5"/>
      <c r="J32" s="5"/>
      <c r="K32" s="5"/>
    </row>
    <row r="33">
      <c r="B33" s="5"/>
      <c r="C33" s="5"/>
      <c r="D33" s="18" t="s">
        <v>402</v>
      </c>
      <c r="E33" s="5"/>
      <c r="F33" s="24"/>
      <c r="G33" s="134" t="s">
        <v>323</v>
      </c>
      <c r="H33" s="24"/>
      <c r="I33" s="5"/>
      <c r="J33" s="5"/>
      <c r="K33" s="5"/>
    </row>
    <row r="34">
      <c r="B34" s="15">
        <v>1.0</v>
      </c>
      <c r="C34" s="5"/>
      <c r="D34" s="116" t="s">
        <v>360</v>
      </c>
      <c r="E34" s="15">
        <v>4.0</v>
      </c>
      <c r="F34" s="19">
        <v>1900.0</v>
      </c>
      <c r="G34" s="24">
        <f t="shared" ref="G34:G35" si="4">E34*F34</f>
        <v>7600</v>
      </c>
      <c r="H34" s="19">
        <v>2400.0</v>
      </c>
      <c r="I34" s="5"/>
      <c r="J34" s="5"/>
      <c r="K34" s="5"/>
    </row>
    <row r="35">
      <c r="B35" s="15">
        <v>2.0</v>
      </c>
      <c r="C35" s="5"/>
      <c r="D35" s="116" t="s">
        <v>363</v>
      </c>
      <c r="E35" s="15">
        <v>1.0</v>
      </c>
      <c r="F35" s="19">
        <v>1900.0</v>
      </c>
      <c r="G35" s="24">
        <f t="shared" si="4"/>
        <v>1900</v>
      </c>
      <c r="H35" s="19">
        <v>2400.0</v>
      </c>
      <c r="I35" s="5"/>
      <c r="J35" s="5"/>
      <c r="K35" s="5"/>
    </row>
    <row r="36">
      <c r="B36" s="145"/>
      <c r="C36" s="146"/>
      <c r="D36" s="147"/>
      <c r="E36" s="147"/>
      <c r="F36" s="143"/>
      <c r="G36" s="143">
        <f>SUM(G34:G35)</f>
        <v>9500</v>
      </c>
      <c r="H36" s="143"/>
      <c r="I36" s="147"/>
      <c r="J36" s="147"/>
      <c r="K36" s="148"/>
    </row>
    <row r="37">
      <c r="B37" s="145"/>
      <c r="C37" s="146"/>
      <c r="D37" s="147"/>
      <c r="E37" s="147"/>
      <c r="F37" s="143"/>
      <c r="G37" s="143"/>
      <c r="H37" s="143"/>
      <c r="I37" s="147"/>
      <c r="J37" s="147"/>
      <c r="K37" s="148"/>
    </row>
    <row r="38">
      <c r="B38" s="145"/>
      <c r="C38" s="146"/>
      <c r="D38" s="147"/>
      <c r="E38" s="147"/>
      <c r="F38" s="143"/>
      <c r="G38" s="143"/>
      <c r="H38" s="143"/>
      <c r="I38" s="147"/>
      <c r="J38" s="147"/>
      <c r="K38" s="148"/>
    </row>
    <row r="39">
      <c r="B39" s="149"/>
      <c r="C39" s="150"/>
      <c r="D39" s="147"/>
      <c r="E39" s="151"/>
      <c r="F39" s="152"/>
      <c r="G39" s="152"/>
      <c r="H39" s="152"/>
      <c r="I39" s="151"/>
      <c r="J39" s="151"/>
      <c r="K39" s="154"/>
    </row>
    <row r="40">
      <c r="B40" s="2"/>
      <c r="C40" s="7" t="s">
        <v>2</v>
      </c>
      <c r="D40" s="110" t="s">
        <v>4</v>
      </c>
      <c r="E40" s="110" t="s">
        <v>6</v>
      </c>
      <c r="F40" s="134" t="s">
        <v>17</v>
      </c>
      <c r="G40" s="134"/>
      <c r="H40" s="134" t="s">
        <v>19</v>
      </c>
      <c r="I40" s="110" t="s">
        <v>20</v>
      </c>
      <c r="J40" s="110" t="s">
        <v>22</v>
      </c>
      <c r="K40" s="112"/>
    </row>
    <row r="41">
      <c r="B41" s="116">
        <v>1.0</v>
      </c>
      <c r="C41" s="5"/>
      <c r="D41" s="15" t="s">
        <v>416</v>
      </c>
      <c r="E41" s="15">
        <v>5.0</v>
      </c>
      <c r="F41" s="24"/>
      <c r="G41" s="19"/>
      <c r="H41" s="19">
        <v>1345.0</v>
      </c>
      <c r="I41" s="15" t="s">
        <v>418</v>
      </c>
      <c r="J41" s="15" t="s">
        <v>199</v>
      </c>
      <c r="K41" s="5"/>
    </row>
    <row r="42">
      <c r="B42" s="116">
        <v>2.0</v>
      </c>
      <c r="C42" s="5"/>
      <c r="D42" s="15" t="s">
        <v>419</v>
      </c>
      <c r="E42" s="15">
        <v>5.0</v>
      </c>
      <c r="F42" s="24"/>
      <c r="G42" s="19"/>
      <c r="H42" s="19">
        <v>1245.0</v>
      </c>
      <c r="I42" s="15" t="s">
        <v>381</v>
      </c>
      <c r="J42" s="15" t="s">
        <v>421</v>
      </c>
      <c r="K42" s="5"/>
    </row>
    <row r="43">
      <c r="B43" s="116">
        <v>3.0</v>
      </c>
      <c r="C43" s="5"/>
      <c r="D43" s="5"/>
      <c r="E43" s="5"/>
      <c r="F43" s="24"/>
      <c r="G43" s="24"/>
      <c r="H43" s="24"/>
      <c r="I43" s="5"/>
      <c r="J43" s="5"/>
      <c r="K43" s="5"/>
    </row>
    <row r="44">
      <c r="B44" s="116">
        <v>4.0</v>
      </c>
      <c r="C44" s="5"/>
      <c r="D44" s="5"/>
      <c r="E44" s="5"/>
      <c r="F44" s="24"/>
      <c r="G44" s="24"/>
      <c r="H44" s="24"/>
      <c r="I44" s="5"/>
      <c r="J44" s="5"/>
      <c r="K44" s="5"/>
    </row>
    <row r="45">
      <c r="B45" s="116">
        <v>5.0</v>
      </c>
      <c r="C45" s="5"/>
      <c r="D45" s="5"/>
      <c r="E45" s="5"/>
      <c r="F45" s="24"/>
      <c r="G45" s="24"/>
      <c r="H45" s="24"/>
      <c r="I45" s="5"/>
      <c r="J45" s="5"/>
      <c r="K45" s="5"/>
    </row>
    <row r="46">
      <c r="B46" s="116">
        <v>6.0</v>
      </c>
      <c r="C46" s="5"/>
      <c r="D46" s="5"/>
      <c r="E46" s="5"/>
      <c r="F46" s="24"/>
      <c r="G46" s="24"/>
      <c r="H46" s="24"/>
      <c r="I46" s="5"/>
      <c r="J46" s="5"/>
      <c r="K46" s="5"/>
    </row>
    <row r="47">
      <c r="B47" s="114"/>
      <c r="F47" s="33"/>
      <c r="G47" s="33"/>
      <c r="H47" s="33"/>
    </row>
    <row r="48">
      <c r="B48" s="114"/>
      <c r="F48" s="33"/>
      <c r="G48" s="33"/>
      <c r="H48" s="33"/>
    </row>
    <row r="49">
      <c r="B49" s="2"/>
      <c r="C49" s="7" t="s">
        <v>2</v>
      </c>
      <c r="D49" s="110" t="s">
        <v>4</v>
      </c>
      <c r="E49" s="110" t="s">
        <v>6</v>
      </c>
      <c r="F49" s="134" t="s">
        <v>17</v>
      </c>
      <c r="G49" s="134" t="s">
        <v>323</v>
      </c>
      <c r="H49" s="134" t="s">
        <v>19</v>
      </c>
      <c r="I49" s="110" t="s">
        <v>10</v>
      </c>
    </row>
    <row r="50">
      <c r="B50" s="116">
        <v>1.0</v>
      </c>
      <c r="C50" s="118"/>
      <c r="D50" s="116" t="s">
        <v>342</v>
      </c>
      <c r="E50" s="116">
        <v>10.0</v>
      </c>
      <c r="F50" s="119">
        <v>590.0</v>
      </c>
      <c r="G50" s="119">
        <v>5900.0</v>
      </c>
      <c r="H50" s="119"/>
      <c r="I50" s="155"/>
    </row>
    <row r="51">
      <c r="B51" s="116">
        <v>2.0</v>
      </c>
      <c r="C51" s="118"/>
      <c r="D51" s="116" t="s">
        <v>351</v>
      </c>
      <c r="E51" s="116">
        <v>10.0</v>
      </c>
      <c r="F51" s="119">
        <v>590.0</v>
      </c>
      <c r="G51" s="119">
        <v>5900.0</v>
      </c>
      <c r="H51" s="119"/>
      <c r="I51" s="116"/>
    </row>
    <row r="52">
      <c r="B52" s="116">
        <v>3.0</v>
      </c>
      <c r="C52" s="118"/>
      <c r="D52" s="116"/>
      <c r="E52" s="116"/>
      <c r="F52" s="119"/>
      <c r="G52" s="119"/>
      <c r="H52" s="119"/>
      <c r="I52" s="155"/>
    </row>
    <row r="53">
      <c r="B53" s="116">
        <v>4.0</v>
      </c>
      <c r="C53" s="118"/>
      <c r="D53" s="116"/>
      <c r="E53" s="116"/>
      <c r="F53" s="119"/>
      <c r="G53" s="119">
        <v>11800.0</v>
      </c>
      <c r="H53" s="119"/>
      <c r="I53" s="116"/>
    </row>
    <row r="54">
      <c r="B54" s="116">
        <v>5.0</v>
      </c>
      <c r="C54" s="118"/>
      <c r="D54" s="116"/>
      <c r="E54" s="116"/>
      <c r="F54" s="119"/>
      <c r="G54" s="119"/>
      <c r="H54" s="119"/>
      <c r="I54" s="116"/>
    </row>
    <row r="55">
      <c r="B55" s="116">
        <v>6.0</v>
      </c>
      <c r="C55" s="118"/>
      <c r="D55" s="116"/>
      <c r="E55" s="116"/>
      <c r="F55" s="119"/>
      <c r="G55" s="119"/>
      <c r="H55" s="119"/>
      <c r="I55" s="118"/>
    </row>
    <row r="56">
      <c r="B56" s="114"/>
      <c r="F56" s="33"/>
      <c r="G56" s="33"/>
      <c r="H56" s="33"/>
    </row>
    <row r="57">
      <c r="F57" s="33"/>
      <c r="G57" s="33"/>
      <c r="H57" s="33"/>
    </row>
    <row r="58">
      <c r="F58" s="33"/>
      <c r="G58" s="33"/>
      <c r="H58" s="33"/>
    </row>
    <row r="59">
      <c r="F59" s="33"/>
      <c r="G59" s="33"/>
      <c r="H59" s="33"/>
    </row>
    <row r="60">
      <c r="F60" s="33"/>
      <c r="G60" s="33"/>
      <c r="H60" s="33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7.29"/>
    <col customWidth="1" min="4" max="4" width="6.29"/>
    <col customWidth="1" min="5" max="5" width="10.0"/>
    <col customWidth="1" min="6" max="6" width="11.57"/>
    <col customWidth="1" min="7" max="7" width="12.14"/>
  </cols>
  <sheetData>
    <row r="2">
      <c r="B2" s="124" t="s">
        <v>365</v>
      </c>
      <c r="C2" s="125"/>
      <c r="D2" s="125"/>
      <c r="E2" s="125"/>
      <c r="F2" s="125"/>
      <c r="G2" s="125"/>
      <c r="H2" s="126"/>
    </row>
    <row r="3">
      <c r="B3" s="127" t="s">
        <v>5</v>
      </c>
      <c r="C3" s="130"/>
      <c r="D3" s="132" t="s">
        <v>6</v>
      </c>
      <c r="E3" s="132" t="s">
        <v>26</v>
      </c>
      <c r="F3" s="132" t="s">
        <v>20</v>
      </c>
      <c r="G3" s="132" t="s">
        <v>22</v>
      </c>
      <c r="H3" s="132" t="s">
        <v>21</v>
      </c>
    </row>
    <row r="4">
      <c r="B4" s="135">
        <v>1.0</v>
      </c>
      <c r="C4" s="136" t="s">
        <v>380</v>
      </c>
      <c r="D4" s="63">
        <v>2.0</v>
      </c>
      <c r="E4" s="139">
        <v>2500.0</v>
      </c>
      <c r="F4" s="63" t="s">
        <v>390</v>
      </c>
      <c r="G4" s="63" t="s">
        <v>391</v>
      </c>
      <c r="H4" s="60"/>
    </row>
    <row r="5">
      <c r="B5" s="135">
        <v>2.0</v>
      </c>
      <c r="C5" s="140" t="s">
        <v>392</v>
      </c>
      <c r="D5" s="15">
        <v>4.0</v>
      </c>
      <c r="E5" s="19">
        <v>5500.0</v>
      </c>
      <c r="F5" s="63" t="s">
        <v>390</v>
      </c>
      <c r="G5" s="15" t="s">
        <v>377</v>
      </c>
      <c r="H5" s="5"/>
    </row>
    <row r="6">
      <c r="B6" s="142">
        <v>3.0</v>
      </c>
      <c r="C6" s="140" t="s">
        <v>392</v>
      </c>
      <c r="D6" s="15">
        <v>2.0</v>
      </c>
      <c r="E6" s="19">
        <v>5000.0</v>
      </c>
      <c r="F6" s="15" t="s">
        <v>377</v>
      </c>
      <c r="G6" s="15" t="s">
        <v>70</v>
      </c>
      <c r="H6" s="5"/>
    </row>
    <row r="7">
      <c r="B7" s="135">
        <v>4.0</v>
      </c>
      <c r="C7" s="140"/>
      <c r="D7" s="15"/>
      <c r="E7" s="15"/>
      <c r="F7" s="15"/>
      <c r="G7" s="5"/>
      <c r="H7" s="5"/>
    </row>
    <row r="8">
      <c r="B8" s="135">
        <v>5.0</v>
      </c>
      <c r="C8" s="140"/>
      <c r="D8" s="15"/>
      <c r="E8" s="15"/>
      <c r="F8" s="15"/>
      <c r="G8" s="5"/>
      <c r="H8" s="5"/>
    </row>
    <row r="9">
      <c r="B9" s="135">
        <v>6.0</v>
      </c>
      <c r="C9" s="140"/>
      <c r="D9" s="15"/>
      <c r="E9" s="15"/>
      <c r="F9" s="15"/>
      <c r="G9" s="5"/>
      <c r="H9" s="5"/>
    </row>
    <row r="10">
      <c r="B10" s="135">
        <v>7.0</v>
      </c>
      <c r="C10" s="140"/>
      <c r="D10" s="15"/>
      <c r="E10" s="15"/>
      <c r="F10" s="15"/>
      <c r="G10" s="5"/>
      <c r="H10" s="5"/>
    </row>
    <row r="11">
      <c r="B11" s="135">
        <v>8.0</v>
      </c>
      <c r="C11" s="140"/>
      <c r="D11" s="15"/>
      <c r="E11" s="15"/>
      <c r="F11" s="15"/>
      <c r="G11" s="5"/>
      <c r="H11" s="5"/>
    </row>
    <row r="12">
      <c r="B12" s="135">
        <v>9.0</v>
      </c>
      <c r="C12" s="140"/>
      <c r="D12" s="15"/>
      <c r="E12" s="15"/>
      <c r="F12" s="15"/>
      <c r="G12" s="5"/>
      <c r="H12" s="5"/>
    </row>
    <row r="13">
      <c r="B13" s="135">
        <v>10.0</v>
      </c>
      <c r="C13" s="140"/>
      <c r="D13" s="15"/>
      <c r="E13" s="15"/>
      <c r="F13" s="15"/>
      <c r="G13" s="5"/>
      <c r="H13" s="5"/>
    </row>
    <row r="14">
      <c r="B14" s="135">
        <v>11.0</v>
      </c>
      <c r="C14" s="140"/>
      <c r="D14" s="15"/>
      <c r="E14" s="15"/>
      <c r="F14" s="15"/>
      <c r="G14" s="5"/>
      <c r="H14" s="5"/>
    </row>
  </sheetData>
  <mergeCells count="1">
    <mergeCell ref="B2:H2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2.0"/>
    <col customWidth="1" min="5" max="5" width="15.86"/>
    <col customWidth="1" min="7" max="7" width="11.0"/>
    <col customWidth="1" min="8" max="8" width="19.29"/>
    <col customWidth="1" min="9" max="9" width="8.43"/>
    <col customWidth="1" min="10" max="10" width="51.71"/>
  </cols>
  <sheetData>
    <row r="1">
      <c r="A1" s="157" t="s">
        <v>437</v>
      </c>
      <c r="AD1" s="157"/>
    </row>
    <row r="2">
      <c r="A2" s="159" t="s">
        <v>438</v>
      </c>
      <c r="B2" s="15" t="s">
        <v>439</v>
      </c>
      <c r="C2" s="15" t="s">
        <v>440</v>
      </c>
      <c r="D2" s="15" t="s">
        <v>16</v>
      </c>
      <c r="E2" s="15" t="s">
        <v>441</v>
      </c>
      <c r="F2" s="15"/>
      <c r="G2" s="15" t="s">
        <v>442</v>
      </c>
      <c r="H2" s="15" t="s">
        <v>443</v>
      </c>
      <c r="I2" s="5"/>
      <c r="J2" s="5"/>
    </row>
    <row r="3">
      <c r="A3" s="159">
        <v>1.0</v>
      </c>
      <c r="B3" s="15" t="s">
        <v>444</v>
      </c>
      <c r="C3" s="15">
        <v>8.0</v>
      </c>
      <c r="D3" s="15">
        <v>8.0</v>
      </c>
      <c r="E3" s="19">
        <v>375.65</v>
      </c>
      <c r="F3" s="19"/>
      <c r="G3" s="19">
        <v>540.0</v>
      </c>
      <c r="H3" s="5"/>
      <c r="I3" s="5"/>
      <c r="J3" s="5"/>
    </row>
    <row r="4">
      <c r="A4" s="159">
        <v>2.0</v>
      </c>
      <c r="B4" s="15" t="s">
        <v>445</v>
      </c>
      <c r="C4" s="15">
        <v>12.0</v>
      </c>
      <c r="D4" s="15">
        <v>6.0</v>
      </c>
      <c r="E4" s="19">
        <v>326.96</v>
      </c>
      <c r="F4" s="19"/>
      <c r="G4" s="19">
        <v>470.0</v>
      </c>
      <c r="H4" s="15" t="s">
        <v>446</v>
      </c>
      <c r="I4" s="5"/>
      <c r="J4" s="5"/>
    </row>
    <row r="5">
      <c r="A5" s="159">
        <v>3.0</v>
      </c>
      <c r="B5" s="15" t="s">
        <v>447</v>
      </c>
      <c r="C5" s="15">
        <v>88.0</v>
      </c>
      <c r="D5" s="15">
        <v>6.0</v>
      </c>
      <c r="E5" s="19">
        <v>466.09</v>
      </c>
      <c r="F5" s="19"/>
      <c r="G5" s="19">
        <v>670.0</v>
      </c>
      <c r="H5" s="15" t="s">
        <v>449</v>
      </c>
      <c r="I5" s="15"/>
      <c r="J5" s="15" t="s">
        <v>450</v>
      </c>
    </row>
    <row r="6">
      <c r="A6" s="159">
        <v>4.0</v>
      </c>
      <c r="B6" s="15" t="s">
        <v>451</v>
      </c>
      <c r="C6" s="15">
        <v>16.0</v>
      </c>
      <c r="D6" s="15">
        <v>6.0</v>
      </c>
      <c r="E6" s="19">
        <v>90.43</v>
      </c>
      <c r="F6" s="19"/>
      <c r="G6" s="19">
        <v>130.0</v>
      </c>
      <c r="H6" s="15" t="s">
        <v>452</v>
      </c>
      <c r="I6" s="15"/>
      <c r="J6" s="15" t="s">
        <v>453</v>
      </c>
    </row>
    <row r="7">
      <c r="A7" s="159">
        <v>5.0</v>
      </c>
      <c r="B7" s="15" t="s">
        <v>454</v>
      </c>
      <c r="C7" s="15">
        <v>49.0</v>
      </c>
      <c r="D7" s="15">
        <v>6.0</v>
      </c>
      <c r="E7" s="19">
        <v>556.52</v>
      </c>
      <c r="F7" s="19"/>
      <c r="G7" s="19">
        <v>800.0</v>
      </c>
      <c r="H7" s="15" t="s">
        <v>455</v>
      </c>
      <c r="I7" s="15"/>
      <c r="J7" s="15" t="s">
        <v>456</v>
      </c>
    </row>
    <row r="8">
      <c r="A8" s="159">
        <v>6.0</v>
      </c>
      <c r="B8" s="15" t="s">
        <v>457</v>
      </c>
      <c r="C8" s="15">
        <v>102.0</v>
      </c>
      <c r="D8" s="15">
        <v>6.0</v>
      </c>
      <c r="E8" s="19">
        <v>466.09</v>
      </c>
      <c r="F8" s="19"/>
      <c r="G8" s="19">
        <v>670.0</v>
      </c>
      <c r="H8" s="15" t="s">
        <v>458</v>
      </c>
      <c r="I8" s="15"/>
      <c r="J8" s="15" t="s">
        <v>459</v>
      </c>
    </row>
    <row r="9">
      <c r="A9" s="159">
        <v>7.0</v>
      </c>
      <c r="B9" s="15" t="s">
        <v>460</v>
      </c>
      <c r="C9" s="15">
        <v>18.0</v>
      </c>
      <c r="D9" s="15">
        <v>6.0</v>
      </c>
      <c r="E9" s="19">
        <v>626.09</v>
      </c>
      <c r="F9" s="19"/>
      <c r="G9" s="19">
        <v>900.0</v>
      </c>
      <c r="H9" s="15" t="s">
        <v>461</v>
      </c>
      <c r="I9" s="15"/>
      <c r="J9" s="15" t="s">
        <v>459</v>
      </c>
      <c r="K9" s="38" t="s">
        <v>462</v>
      </c>
    </row>
    <row r="10">
      <c r="A10" s="159">
        <v>8.0</v>
      </c>
      <c r="B10" s="15" t="s">
        <v>463</v>
      </c>
      <c r="C10" s="15">
        <v>125.0</v>
      </c>
      <c r="D10" s="15">
        <v>6.0</v>
      </c>
      <c r="E10" s="19">
        <v>90.43</v>
      </c>
      <c r="F10" s="19"/>
      <c r="G10" s="19">
        <v>130.0</v>
      </c>
      <c r="H10" s="15" t="s">
        <v>465</v>
      </c>
      <c r="I10" s="15"/>
      <c r="J10" s="15" t="s">
        <v>466</v>
      </c>
      <c r="K10" s="38" t="s">
        <v>467</v>
      </c>
    </row>
    <row r="11">
      <c r="A11" s="159">
        <v>9.0</v>
      </c>
      <c r="B11" s="15" t="s">
        <v>469</v>
      </c>
      <c r="C11" s="15">
        <v>10.0</v>
      </c>
      <c r="D11" s="15">
        <v>6.0</v>
      </c>
      <c r="E11" s="19">
        <v>326.96</v>
      </c>
      <c r="F11" s="19"/>
      <c r="G11" s="19">
        <v>470.0</v>
      </c>
      <c r="H11" s="15" t="s">
        <v>470</v>
      </c>
      <c r="I11" s="15"/>
      <c r="J11" s="15" t="s">
        <v>450</v>
      </c>
      <c r="K11" s="38" t="s">
        <v>471</v>
      </c>
    </row>
    <row r="12">
      <c r="A12" s="159">
        <v>10.0</v>
      </c>
      <c r="B12" s="15" t="s">
        <v>473</v>
      </c>
      <c r="C12" s="15">
        <v>96.0</v>
      </c>
      <c r="D12" s="15">
        <v>6.0</v>
      </c>
      <c r="E12" s="19">
        <v>234.78</v>
      </c>
      <c r="F12" s="19"/>
      <c r="G12" s="19">
        <v>337.0</v>
      </c>
      <c r="H12" s="15" t="s">
        <v>470</v>
      </c>
      <c r="I12" s="15"/>
      <c r="J12" s="15" t="s">
        <v>466</v>
      </c>
    </row>
    <row r="13">
      <c r="A13" s="159">
        <v>11.0</v>
      </c>
      <c r="B13" s="5"/>
      <c r="C13" s="5"/>
      <c r="D13" s="5"/>
      <c r="E13" s="5"/>
      <c r="F13" s="5"/>
      <c r="G13" s="5"/>
      <c r="H13" s="15" t="s">
        <v>470</v>
      </c>
      <c r="I13" s="15"/>
      <c r="J13" s="15" t="s">
        <v>475</v>
      </c>
    </row>
    <row r="14">
      <c r="A14" s="159">
        <v>12.0</v>
      </c>
      <c r="B14" s="5"/>
      <c r="C14" s="5"/>
      <c r="D14" s="5"/>
      <c r="E14" s="5"/>
      <c r="F14" s="5"/>
      <c r="G14" s="5"/>
      <c r="H14" s="15" t="s">
        <v>470</v>
      </c>
      <c r="I14" s="15"/>
      <c r="J14" s="15" t="s">
        <v>476</v>
      </c>
    </row>
    <row r="15">
      <c r="A15" s="159">
        <v>13.0</v>
      </c>
      <c r="B15" s="5"/>
      <c r="C15" s="5"/>
      <c r="D15" s="5"/>
      <c r="E15" s="5"/>
      <c r="F15" s="5"/>
      <c r="G15" s="5"/>
      <c r="H15" s="5"/>
      <c r="I15" s="5"/>
      <c r="J15" s="5"/>
    </row>
    <row r="16">
      <c r="A16" s="163"/>
    </row>
    <row r="17">
      <c r="A17" s="163"/>
      <c r="B17" s="165">
        <v>45845.0</v>
      </c>
    </row>
    <row r="18">
      <c r="A18" s="163"/>
    </row>
    <row r="19">
      <c r="A19" s="166" t="s">
        <v>482</v>
      </c>
      <c r="AD19" s="166"/>
    </row>
    <row r="20">
      <c r="A20" s="167"/>
      <c r="B20" s="65"/>
      <c r="C20" s="65"/>
      <c r="D20" s="65"/>
      <c r="E20" s="65"/>
      <c r="F20" s="65"/>
      <c r="G20" s="65"/>
      <c r="H20" s="65"/>
      <c r="I20" s="169"/>
      <c r="J20" s="169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>
      <c r="A21" s="172" t="s">
        <v>438</v>
      </c>
      <c r="B21" s="175" t="s">
        <v>439</v>
      </c>
      <c r="C21" s="175" t="s">
        <v>495</v>
      </c>
      <c r="D21" s="175" t="s">
        <v>16</v>
      </c>
      <c r="E21" s="175" t="s">
        <v>496</v>
      </c>
      <c r="F21" s="175" t="s">
        <v>497</v>
      </c>
      <c r="G21" s="175" t="s">
        <v>498</v>
      </c>
      <c r="H21" s="175" t="s">
        <v>20</v>
      </c>
      <c r="I21" s="175" t="s">
        <v>22</v>
      </c>
      <c r="J21" s="17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>
      <c r="A22" s="159">
        <v>1.0</v>
      </c>
      <c r="B22" s="87" t="s">
        <v>499</v>
      </c>
      <c r="C22" s="87">
        <v>8.0</v>
      </c>
      <c r="D22" s="87">
        <v>1.0</v>
      </c>
      <c r="E22" s="87">
        <v>375.65</v>
      </c>
      <c r="F22" s="87">
        <v>375.65</v>
      </c>
      <c r="G22" s="87">
        <v>540.0</v>
      </c>
      <c r="H22" s="181" t="s">
        <v>207</v>
      </c>
      <c r="I22" s="183"/>
      <c r="J22" s="18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159">
        <v>2.0</v>
      </c>
      <c r="B23" s="87" t="s">
        <v>521</v>
      </c>
      <c r="C23" s="87">
        <v>9.0</v>
      </c>
      <c r="D23" s="87">
        <v>1.0</v>
      </c>
      <c r="E23" s="87">
        <v>695.65</v>
      </c>
      <c r="F23" s="87">
        <v>695.65</v>
      </c>
      <c r="G23" s="87">
        <v>1000.0</v>
      </c>
      <c r="H23" s="183"/>
      <c r="I23" s="183"/>
      <c r="J23" s="18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159">
        <v>3.0</v>
      </c>
      <c r="B24" s="87" t="s">
        <v>525</v>
      </c>
      <c r="C24" s="87">
        <v>10.0</v>
      </c>
      <c r="D24" s="87">
        <v>1.0</v>
      </c>
      <c r="E24" s="87">
        <v>326.96</v>
      </c>
      <c r="F24" s="87">
        <v>326.96</v>
      </c>
      <c r="G24" s="87">
        <v>470.0</v>
      </c>
      <c r="H24" s="87" t="s">
        <v>207</v>
      </c>
      <c r="I24" s="183"/>
      <c r="J24" s="18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159">
        <v>4.0</v>
      </c>
      <c r="B25" s="87" t="s">
        <v>528</v>
      </c>
      <c r="C25" s="87">
        <v>11.0</v>
      </c>
      <c r="D25" s="87">
        <v>1.0</v>
      </c>
      <c r="E25" s="87">
        <v>626.09</v>
      </c>
      <c r="F25" s="87">
        <v>626.09</v>
      </c>
      <c r="G25" s="87">
        <v>900.0</v>
      </c>
      <c r="H25" s="186" t="s">
        <v>529</v>
      </c>
      <c r="I25" s="187"/>
      <c r="J25" s="183"/>
      <c r="K25" s="87" t="s">
        <v>531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159">
        <v>5.0</v>
      </c>
      <c r="B26" s="87" t="s">
        <v>532</v>
      </c>
      <c r="C26" s="87">
        <v>12.0</v>
      </c>
      <c r="D26" s="87">
        <v>1.0</v>
      </c>
      <c r="E26" s="87">
        <v>326.96</v>
      </c>
      <c r="F26" s="87">
        <v>326.96</v>
      </c>
      <c r="G26" s="87">
        <v>470.0</v>
      </c>
      <c r="H26" s="189" t="s">
        <v>207</v>
      </c>
      <c r="I26" s="183"/>
      <c r="J26" s="18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159">
        <v>6.0</v>
      </c>
      <c r="B27" s="87" t="s">
        <v>539</v>
      </c>
      <c r="C27" s="87">
        <v>13.0</v>
      </c>
      <c r="D27" s="87">
        <v>1.0</v>
      </c>
      <c r="E27" s="87">
        <v>626.09</v>
      </c>
      <c r="F27" s="87">
        <v>626.09</v>
      </c>
      <c r="G27" s="87">
        <v>900.0</v>
      </c>
      <c r="H27" s="33"/>
      <c r="I27" s="187"/>
      <c r="J27" s="183"/>
      <c r="K27" s="87" t="s">
        <v>531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159">
        <v>7.0</v>
      </c>
      <c r="B28" s="87" t="s">
        <v>541</v>
      </c>
      <c r="C28" s="87">
        <v>14.0</v>
      </c>
      <c r="D28" s="87">
        <v>5.0</v>
      </c>
      <c r="E28" s="87">
        <v>90.43</v>
      </c>
      <c r="F28" s="87">
        <v>452.15</v>
      </c>
      <c r="G28" s="87">
        <v>130.0</v>
      </c>
      <c r="H28" s="87" t="s">
        <v>542</v>
      </c>
      <c r="I28" s="87" t="s">
        <v>203</v>
      </c>
      <c r="J28" s="18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>
      <c r="A29" s="159">
        <v>8.0</v>
      </c>
      <c r="B29" s="87" t="s">
        <v>546</v>
      </c>
      <c r="C29" s="87">
        <v>96.0</v>
      </c>
      <c r="D29" s="87">
        <v>1.0</v>
      </c>
      <c r="E29" s="87">
        <v>234.78</v>
      </c>
      <c r="F29" s="87">
        <v>234.78</v>
      </c>
      <c r="G29" s="87">
        <v>340.0</v>
      </c>
      <c r="H29" s="87" t="s">
        <v>203</v>
      </c>
      <c r="I29" s="183"/>
      <c r="J29" s="18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>
      <c r="A30" s="159">
        <v>9.0</v>
      </c>
      <c r="B30" s="87" t="s">
        <v>548</v>
      </c>
      <c r="C30" s="87">
        <v>86.0</v>
      </c>
      <c r="D30" s="87">
        <v>1.0</v>
      </c>
      <c r="E30" s="87">
        <v>466.09</v>
      </c>
      <c r="F30" s="87">
        <v>466.09</v>
      </c>
      <c r="G30" s="87">
        <v>670.0</v>
      </c>
      <c r="H30" s="87" t="s">
        <v>203</v>
      </c>
      <c r="I30" s="183"/>
      <c r="J30" s="18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>
      <c r="A31" s="159">
        <v>10.0</v>
      </c>
      <c r="B31" s="87" t="s">
        <v>550</v>
      </c>
      <c r="C31" s="87">
        <v>90.0</v>
      </c>
      <c r="D31" s="87">
        <v>1.0</v>
      </c>
      <c r="E31" s="87">
        <v>765.22</v>
      </c>
      <c r="F31" s="87">
        <v>765.22</v>
      </c>
      <c r="G31" s="87">
        <v>1100.0</v>
      </c>
      <c r="H31" s="87" t="s">
        <v>199</v>
      </c>
      <c r="I31" s="183"/>
      <c r="J31" s="18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>
      <c r="A32" s="159">
        <v>11.0</v>
      </c>
      <c r="B32" s="87" t="s">
        <v>552</v>
      </c>
      <c r="C32" s="87">
        <v>88.0</v>
      </c>
      <c r="D32" s="87">
        <v>5.0</v>
      </c>
      <c r="E32" s="87">
        <v>466.09</v>
      </c>
      <c r="F32" s="87">
        <v>2330.45</v>
      </c>
      <c r="G32" s="87">
        <v>670.0</v>
      </c>
      <c r="H32" s="87" t="s">
        <v>203</v>
      </c>
      <c r="I32" s="183"/>
      <c r="J32" s="18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>
      <c r="A33" s="159">
        <v>12.0</v>
      </c>
      <c r="B33" s="87" t="s">
        <v>553</v>
      </c>
      <c r="C33" s="87">
        <v>74.0</v>
      </c>
      <c r="D33" s="87">
        <v>5.0</v>
      </c>
      <c r="E33" s="87">
        <v>765.22</v>
      </c>
      <c r="F33" s="87">
        <v>3826.1</v>
      </c>
      <c r="G33" s="87">
        <v>1100.0</v>
      </c>
      <c r="H33" s="87"/>
      <c r="I33" s="183"/>
      <c r="J33" s="183"/>
      <c r="K33" s="87" t="s">
        <v>554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>
      <c r="A34" s="159">
        <v>13.0</v>
      </c>
      <c r="B34" s="87" t="s">
        <v>555</v>
      </c>
      <c r="C34" s="87">
        <v>102.0</v>
      </c>
      <c r="D34" s="87">
        <v>5.0</v>
      </c>
      <c r="E34" s="87">
        <v>466.09</v>
      </c>
      <c r="F34" s="87">
        <v>2330.45</v>
      </c>
      <c r="G34" s="87">
        <v>670.0</v>
      </c>
      <c r="H34" s="87" t="s">
        <v>203</v>
      </c>
      <c r="I34" s="183"/>
      <c r="J34" s="18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>
      <c r="A35" s="159">
        <v>14.0</v>
      </c>
      <c r="B35" s="87" t="s">
        <v>556</v>
      </c>
      <c r="C35" s="87">
        <v>87.0</v>
      </c>
      <c r="D35" s="87">
        <v>5.0</v>
      </c>
      <c r="E35" s="87">
        <v>765.22</v>
      </c>
      <c r="F35" s="87">
        <v>3826.1</v>
      </c>
      <c r="G35" s="87">
        <v>1100.0</v>
      </c>
      <c r="H35" s="87"/>
      <c r="I35" s="183"/>
      <c r="J35" s="183"/>
      <c r="K35" s="87" t="s">
        <v>554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>
      <c r="A36" s="159">
        <v>15.0</v>
      </c>
      <c r="B36" s="87" t="s">
        <v>557</v>
      </c>
      <c r="C36" s="87">
        <v>120.0</v>
      </c>
      <c r="D36" s="87">
        <v>5.0</v>
      </c>
      <c r="E36" s="87">
        <v>466.09</v>
      </c>
      <c r="F36" s="87">
        <v>2330.45</v>
      </c>
      <c r="G36" s="87">
        <v>670.0</v>
      </c>
      <c r="H36" s="87" t="s">
        <v>65</v>
      </c>
      <c r="I36" s="183"/>
      <c r="J36" s="18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>
      <c r="A37" s="159">
        <v>16.0</v>
      </c>
      <c r="B37" s="87" t="s">
        <v>558</v>
      </c>
      <c r="C37" s="87">
        <v>18.0</v>
      </c>
      <c r="D37" s="87">
        <v>5.0</v>
      </c>
      <c r="E37" s="87">
        <v>626.09</v>
      </c>
      <c r="F37" s="87">
        <v>3130.45</v>
      </c>
      <c r="G37" s="87">
        <v>900.0</v>
      </c>
      <c r="H37" s="33"/>
      <c r="I37" s="187"/>
      <c r="J37" s="183"/>
      <c r="K37" s="87" t="s">
        <v>559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>
      <c r="A38" s="159">
        <v>17.0</v>
      </c>
      <c r="B38" s="87" t="s">
        <v>560</v>
      </c>
      <c r="C38" s="87">
        <v>125.0</v>
      </c>
      <c r="D38" s="87">
        <v>5.0</v>
      </c>
      <c r="E38" s="87">
        <v>90.43</v>
      </c>
      <c r="F38" s="87">
        <v>452.15</v>
      </c>
      <c r="G38" s="87">
        <v>130.0</v>
      </c>
      <c r="H38" s="183"/>
      <c r="I38" s="183"/>
      <c r="J38" s="18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>
      <c r="A39" s="159">
        <v>18.0</v>
      </c>
      <c r="B39" s="87" t="s">
        <v>561</v>
      </c>
      <c r="C39" s="87">
        <v>95.0</v>
      </c>
      <c r="D39" s="87">
        <v>5.0</v>
      </c>
      <c r="E39" s="87">
        <v>234.78</v>
      </c>
      <c r="F39" s="87">
        <v>1773.9</v>
      </c>
      <c r="G39" s="87">
        <v>340.0</v>
      </c>
      <c r="H39" s="186" t="s">
        <v>562</v>
      </c>
      <c r="I39" s="192" t="s">
        <v>563</v>
      </c>
      <c r="J39" s="183"/>
      <c r="K39" s="87" t="s">
        <v>559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>
      <c r="A40" s="193"/>
      <c r="B40" s="183"/>
      <c r="C40" s="183"/>
      <c r="D40" s="183"/>
      <c r="E40" s="183"/>
      <c r="F40" s="183"/>
      <c r="G40" s="183"/>
      <c r="H40" s="183"/>
      <c r="I40" s="183"/>
      <c r="J40" s="18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>
      <c r="A41" s="193"/>
      <c r="B41" s="183"/>
      <c r="C41" s="183"/>
      <c r="D41" s="183"/>
      <c r="E41" s="183"/>
      <c r="F41" s="183"/>
      <c r="G41" s="183"/>
      <c r="H41" s="183"/>
      <c r="I41" s="183"/>
      <c r="J41" s="18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>
      <c r="A42" s="193"/>
      <c r="B42" s="183"/>
      <c r="C42" s="183"/>
      <c r="D42" s="183"/>
      <c r="E42" s="183"/>
      <c r="F42" s="183"/>
      <c r="G42" s="183"/>
      <c r="H42" s="183"/>
      <c r="I42" s="183"/>
      <c r="J42" s="18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>
      <c r="A43" s="193"/>
      <c r="B43" s="183"/>
      <c r="C43" s="183"/>
      <c r="D43" s="183"/>
      <c r="E43" s="183"/>
      <c r="F43" s="183"/>
      <c r="G43" s="183"/>
      <c r="H43" s="183"/>
      <c r="I43" s="183"/>
      <c r="J43" s="18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>
      <c r="A44" s="193"/>
      <c r="B44" s="183"/>
      <c r="C44" s="183"/>
      <c r="D44" s="183"/>
      <c r="E44" s="183"/>
      <c r="F44" s="183"/>
      <c r="G44" s="183"/>
      <c r="H44" s="183"/>
      <c r="I44" s="183"/>
      <c r="J44" s="18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>
      <c r="A45" s="163"/>
      <c r="B45" s="187"/>
      <c r="C45" s="187"/>
      <c r="D45" s="187"/>
      <c r="E45" s="187"/>
      <c r="F45" s="187"/>
      <c r="G45" s="187"/>
      <c r="H45" s="187"/>
      <c r="I45" s="187"/>
      <c r="J45" s="187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>
      <c r="A46" s="163"/>
      <c r="B46" s="194">
        <v>46271.0</v>
      </c>
      <c r="C46" s="187"/>
      <c r="D46" s="187"/>
      <c r="E46" s="187"/>
      <c r="F46" s="187"/>
      <c r="G46" s="187"/>
      <c r="H46" s="187"/>
      <c r="I46" s="187"/>
      <c r="J46" s="187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>
      <c r="A47" s="163"/>
      <c r="B47" s="195" t="s">
        <v>482</v>
      </c>
    </row>
    <row r="48">
      <c r="A48" s="172" t="s">
        <v>438</v>
      </c>
      <c r="B48" s="196" t="s">
        <v>439</v>
      </c>
      <c r="C48" s="196" t="s">
        <v>495</v>
      </c>
      <c r="D48" s="196" t="s">
        <v>16</v>
      </c>
      <c r="E48" s="196" t="s">
        <v>496</v>
      </c>
      <c r="F48" s="196" t="s">
        <v>497</v>
      </c>
      <c r="G48" s="196" t="s">
        <v>498</v>
      </c>
      <c r="H48" s="196" t="s">
        <v>20</v>
      </c>
      <c r="I48" s="196" t="s">
        <v>22</v>
      </c>
      <c r="J48" s="30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>
      <c r="A49" s="159">
        <v>1.0</v>
      </c>
      <c r="B49" s="87" t="s">
        <v>525</v>
      </c>
      <c r="C49" s="87">
        <v>10.0</v>
      </c>
      <c r="D49" s="87">
        <v>2.0</v>
      </c>
      <c r="E49" s="87">
        <v>326.96</v>
      </c>
      <c r="F49" s="87">
        <v>653.92</v>
      </c>
      <c r="G49" s="87">
        <v>470.0</v>
      </c>
      <c r="H49" s="87" t="s">
        <v>199</v>
      </c>
      <c r="I49" s="183"/>
      <c r="J49" s="18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>
      <c r="A50" s="159">
        <v>2.0</v>
      </c>
      <c r="B50" s="87" t="s">
        <v>532</v>
      </c>
      <c r="C50" s="87">
        <v>12.0</v>
      </c>
      <c r="D50" s="87">
        <v>2.0</v>
      </c>
      <c r="E50" s="87">
        <v>326.96</v>
      </c>
      <c r="F50" s="87">
        <v>653.92</v>
      </c>
      <c r="G50" s="87">
        <v>470.0</v>
      </c>
      <c r="H50" s="183"/>
      <c r="I50" s="183"/>
      <c r="J50" s="18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>
      <c r="A51" s="159">
        <v>3.0</v>
      </c>
      <c r="B51" s="87" t="s">
        <v>552</v>
      </c>
      <c r="C51" s="87">
        <v>88.0</v>
      </c>
      <c r="D51" s="87">
        <v>2.0</v>
      </c>
      <c r="E51" s="87">
        <v>466.09</v>
      </c>
      <c r="F51" s="87">
        <v>932.18</v>
      </c>
      <c r="G51" s="87">
        <v>670.0</v>
      </c>
      <c r="H51" s="189" t="s">
        <v>564</v>
      </c>
      <c r="I51" s="197" t="s">
        <v>564</v>
      </c>
      <c r="J51" s="18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>
      <c r="A52" s="159">
        <v>4.0</v>
      </c>
      <c r="B52" s="87" t="s">
        <v>561</v>
      </c>
      <c r="C52" s="87">
        <v>95.0</v>
      </c>
      <c r="D52" s="87">
        <v>4.0</v>
      </c>
      <c r="E52" s="87">
        <v>243.48</v>
      </c>
      <c r="F52" s="87">
        <v>973.92</v>
      </c>
      <c r="G52" s="87">
        <v>350.0</v>
      </c>
      <c r="H52" s="87" t="s">
        <v>565</v>
      </c>
      <c r="I52" s="87" t="s">
        <v>199</v>
      </c>
      <c r="J52" s="18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>
      <c r="A53" s="159">
        <v>5.0</v>
      </c>
      <c r="B53" s="183"/>
      <c r="C53" s="183"/>
      <c r="D53" s="183"/>
      <c r="E53" s="196" t="s">
        <v>566</v>
      </c>
      <c r="F53" s="30">
        <f>SUM(F49:F52)</f>
        <v>3213.94</v>
      </c>
      <c r="G53" s="183"/>
      <c r="H53" s="183"/>
      <c r="I53" s="183"/>
      <c r="J53" s="18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>
      <c r="A54" s="159">
        <v>6.0</v>
      </c>
      <c r="B54" s="183"/>
      <c r="C54" s="183"/>
      <c r="D54" s="183"/>
      <c r="E54" s="196" t="s">
        <v>567</v>
      </c>
      <c r="F54" s="30">
        <f>F53*15%</f>
        <v>482.091</v>
      </c>
      <c r="G54" s="183"/>
      <c r="H54" s="183"/>
      <c r="I54" s="183"/>
      <c r="J54" s="18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>
      <c r="A55" s="198"/>
      <c r="B55" s="187"/>
      <c r="C55" s="187"/>
      <c r="D55" s="187"/>
      <c r="E55" s="196" t="s">
        <v>100</v>
      </c>
      <c r="F55" s="30">
        <f>F53+F54</f>
        <v>3696.031</v>
      </c>
      <c r="G55" s="187"/>
      <c r="H55" s="187"/>
      <c r="I55" s="187"/>
      <c r="J55" s="187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>
      <c r="A56" s="198"/>
      <c r="B56" s="187"/>
      <c r="C56" s="187"/>
      <c r="D56" s="187"/>
      <c r="E56" s="187"/>
      <c r="F56" s="187"/>
      <c r="G56" s="187"/>
      <c r="H56" s="187"/>
      <c r="I56" s="187"/>
      <c r="J56" s="187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>
      <c r="A57" s="198"/>
      <c r="B57" s="199" t="s">
        <v>568</v>
      </c>
      <c r="C57" s="187"/>
      <c r="D57" s="187"/>
      <c r="E57" s="187"/>
      <c r="F57" s="187"/>
      <c r="G57" s="187"/>
      <c r="H57" s="187"/>
      <c r="I57" s="187"/>
      <c r="J57" s="187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>
      <c r="A58" s="163"/>
      <c r="B58" s="195" t="s">
        <v>482</v>
      </c>
    </row>
    <row r="59">
      <c r="A59" s="172" t="s">
        <v>438</v>
      </c>
      <c r="B59" s="196" t="s">
        <v>439</v>
      </c>
      <c r="C59" s="196" t="s">
        <v>495</v>
      </c>
      <c r="D59" s="196" t="s">
        <v>16</v>
      </c>
      <c r="E59" s="196" t="s">
        <v>496</v>
      </c>
      <c r="F59" s="196" t="s">
        <v>497</v>
      </c>
      <c r="G59" s="196" t="s">
        <v>498</v>
      </c>
      <c r="H59" s="196" t="s">
        <v>20</v>
      </c>
      <c r="I59" s="196" t="s">
        <v>22</v>
      </c>
      <c r="J59" s="30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>
      <c r="A60" s="159">
        <v>1.0</v>
      </c>
      <c r="B60" s="87" t="s">
        <v>525</v>
      </c>
      <c r="C60" s="87">
        <v>10.0</v>
      </c>
      <c r="D60" s="87">
        <v>2.0</v>
      </c>
      <c r="E60" s="87">
        <v>376.0</v>
      </c>
      <c r="F60" s="87">
        <f t="shared" ref="F60:F68" si="1">E60*D60</f>
        <v>752</v>
      </c>
      <c r="G60" s="87">
        <v>470.0</v>
      </c>
      <c r="H60" s="87" t="s">
        <v>569</v>
      </c>
      <c r="I60" s="183"/>
      <c r="J60" s="18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>
      <c r="A61" s="159">
        <v>2.0</v>
      </c>
      <c r="B61" s="87" t="s">
        <v>532</v>
      </c>
      <c r="C61" s="87">
        <v>12.0</v>
      </c>
      <c r="D61" s="87">
        <v>1.0</v>
      </c>
      <c r="E61" s="87">
        <v>376.0</v>
      </c>
      <c r="F61" s="87">
        <f t="shared" si="1"/>
        <v>376</v>
      </c>
      <c r="G61" s="87">
        <v>470.0</v>
      </c>
      <c r="H61" s="183"/>
      <c r="I61" s="183"/>
      <c r="J61" s="18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>
      <c r="A62" s="159">
        <v>3.0</v>
      </c>
      <c r="B62" s="87" t="s">
        <v>561</v>
      </c>
      <c r="C62" s="87">
        <v>95.0</v>
      </c>
      <c r="D62" s="87">
        <v>3.0</v>
      </c>
      <c r="E62" s="87">
        <v>280.0</v>
      </c>
      <c r="F62" s="87">
        <f t="shared" si="1"/>
        <v>840</v>
      </c>
      <c r="G62" s="87">
        <v>350.0</v>
      </c>
      <c r="H62" s="201" t="s">
        <v>572</v>
      </c>
      <c r="I62" s="183"/>
      <c r="J62" s="18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>
      <c r="A63" s="159">
        <v>4.0</v>
      </c>
      <c r="B63" s="87" t="s">
        <v>552</v>
      </c>
      <c r="C63" s="87">
        <v>88.0</v>
      </c>
      <c r="D63" s="87">
        <v>2.0</v>
      </c>
      <c r="E63" s="87">
        <v>536.0</v>
      </c>
      <c r="F63" s="87">
        <f t="shared" si="1"/>
        <v>1072</v>
      </c>
      <c r="G63" s="87">
        <v>670.0</v>
      </c>
      <c r="H63" s="189"/>
      <c r="I63" s="189"/>
      <c r="J63" s="18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>
      <c r="A64" s="163"/>
      <c r="B64" s="87" t="s">
        <v>553</v>
      </c>
      <c r="C64" s="5"/>
      <c r="D64" s="15">
        <v>2.0</v>
      </c>
      <c r="E64" s="15">
        <v>720.0</v>
      </c>
      <c r="F64" s="87">
        <f t="shared" si="1"/>
        <v>1440</v>
      </c>
      <c r="G64" s="15">
        <v>1100.0</v>
      </c>
      <c r="H64" s="201" t="s">
        <v>572</v>
      </c>
      <c r="I64" s="5"/>
      <c r="J64" s="5"/>
    </row>
    <row r="65">
      <c r="A65" s="163"/>
      <c r="B65" s="87" t="s">
        <v>557</v>
      </c>
      <c r="C65" s="5"/>
      <c r="D65" s="15">
        <v>3.0</v>
      </c>
      <c r="E65" s="15">
        <v>480.0</v>
      </c>
      <c r="F65" s="87">
        <f t="shared" si="1"/>
        <v>1440</v>
      </c>
      <c r="G65" s="15">
        <v>600.0</v>
      </c>
      <c r="H65" s="5"/>
      <c r="I65" s="5"/>
      <c r="J65" s="5"/>
    </row>
    <row r="66">
      <c r="A66" s="163"/>
      <c r="B66" s="87" t="s">
        <v>558</v>
      </c>
      <c r="C66" s="5"/>
      <c r="D66" s="15">
        <v>2.0</v>
      </c>
      <c r="E66" s="15">
        <v>720.0</v>
      </c>
      <c r="F66" s="87">
        <f t="shared" si="1"/>
        <v>1440</v>
      </c>
      <c r="G66" s="15">
        <v>900.0</v>
      </c>
      <c r="H66" s="5"/>
      <c r="I66" s="5"/>
      <c r="J66" s="5"/>
    </row>
    <row r="67">
      <c r="A67" s="163"/>
      <c r="B67" s="87" t="s">
        <v>555</v>
      </c>
      <c r="C67" s="5"/>
      <c r="D67" s="15">
        <v>2.0</v>
      </c>
      <c r="E67" s="15">
        <v>536.0</v>
      </c>
      <c r="F67" s="87">
        <f t="shared" si="1"/>
        <v>1072</v>
      </c>
      <c r="G67" s="15">
        <v>670.0</v>
      </c>
      <c r="H67" s="201" t="s">
        <v>572</v>
      </c>
      <c r="I67" s="5"/>
      <c r="J67" s="5"/>
    </row>
    <row r="68">
      <c r="A68" s="163"/>
      <c r="B68" s="87" t="s">
        <v>556</v>
      </c>
      <c r="C68" s="5"/>
      <c r="D68" s="15">
        <v>1.0</v>
      </c>
      <c r="E68" s="15">
        <v>880.0</v>
      </c>
      <c r="F68" s="87">
        <f t="shared" si="1"/>
        <v>880</v>
      </c>
      <c r="G68" s="15">
        <v>1100.0</v>
      </c>
      <c r="H68" s="201" t="s">
        <v>572</v>
      </c>
      <c r="I68" s="5"/>
      <c r="J68" s="5"/>
    </row>
    <row r="69">
      <c r="A69" s="163"/>
    </row>
    <row r="70">
      <c r="A70" s="163"/>
    </row>
    <row r="71">
      <c r="A71" s="163"/>
    </row>
    <row r="72">
      <c r="A72" s="163"/>
    </row>
    <row r="73">
      <c r="A73" s="163"/>
    </row>
    <row r="74">
      <c r="A74" s="163"/>
    </row>
    <row r="75">
      <c r="A75" s="163"/>
    </row>
    <row r="76">
      <c r="A76" s="163"/>
    </row>
    <row r="77">
      <c r="A77" s="163"/>
    </row>
    <row r="78">
      <c r="A78" s="163"/>
    </row>
    <row r="79">
      <c r="A79" s="163"/>
    </row>
    <row r="80">
      <c r="A80" s="163"/>
    </row>
    <row r="81">
      <c r="A81" s="163"/>
    </row>
    <row r="82">
      <c r="A82" s="163"/>
    </row>
    <row r="83">
      <c r="A83" s="163"/>
    </row>
    <row r="84">
      <c r="A84" s="163"/>
    </row>
    <row r="85">
      <c r="A85" s="163"/>
    </row>
    <row r="86">
      <c r="A86" s="163"/>
    </row>
    <row r="87">
      <c r="A87" s="163"/>
    </row>
    <row r="88">
      <c r="A88" s="163"/>
    </row>
    <row r="89">
      <c r="A89" s="163"/>
    </row>
    <row r="90">
      <c r="A90" s="163"/>
    </row>
    <row r="91">
      <c r="A91" s="163"/>
    </row>
    <row r="92">
      <c r="A92" s="163"/>
    </row>
    <row r="93">
      <c r="A93" s="163"/>
    </row>
    <row r="94">
      <c r="A94" s="163"/>
    </row>
    <row r="95">
      <c r="A95" s="163"/>
    </row>
    <row r="96">
      <c r="A96" s="163"/>
    </row>
    <row r="97">
      <c r="A97" s="163"/>
    </row>
    <row r="98">
      <c r="A98" s="163"/>
    </row>
    <row r="99">
      <c r="A99" s="163"/>
    </row>
    <row r="100">
      <c r="A100" s="163"/>
    </row>
    <row r="101">
      <c r="A101" s="163"/>
    </row>
    <row r="102">
      <c r="A102" s="163"/>
    </row>
    <row r="103">
      <c r="A103" s="163"/>
    </row>
    <row r="104">
      <c r="A104" s="163"/>
    </row>
    <row r="105">
      <c r="A105" s="163"/>
    </row>
    <row r="106">
      <c r="A106" s="163"/>
    </row>
    <row r="107">
      <c r="A107" s="163"/>
    </row>
    <row r="108">
      <c r="A108" s="163"/>
    </row>
    <row r="109">
      <c r="A109" s="163"/>
    </row>
    <row r="110">
      <c r="A110" s="163"/>
    </row>
    <row r="111">
      <c r="A111" s="163"/>
    </row>
    <row r="112">
      <c r="A112" s="163"/>
    </row>
    <row r="113">
      <c r="A113" s="163"/>
    </row>
    <row r="114">
      <c r="A114" s="163"/>
    </row>
    <row r="115">
      <c r="A115" s="163"/>
    </row>
    <row r="116">
      <c r="A116" s="163"/>
    </row>
    <row r="117">
      <c r="A117" s="163"/>
    </row>
    <row r="118">
      <c r="A118" s="163"/>
    </row>
    <row r="119">
      <c r="A119" s="163"/>
    </row>
    <row r="120">
      <c r="A120" s="163"/>
    </row>
    <row r="121">
      <c r="A121" s="163"/>
    </row>
    <row r="122">
      <c r="A122" s="163"/>
    </row>
    <row r="123">
      <c r="A123" s="163"/>
    </row>
    <row r="124">
      <c r="A124" s="163"/>
    </row>
    <row r="125">
      <c r="A125" s="163"/>
    </row>
    <row r="126">
      <c r="A126" s="163"/>
    </row>
    <row r="127">
      <c r="A127" s="163"/>
    </row>
    <row r="128">
      <c r="A128" s="163"/>
    </row>
    <row r="129">
      <c r="A129" s="163"/>
    </row>
    <row r="130">
      <c r="A130" s="163"/>
    </row>
    <row r="131">
      <c r="A131" s="163"/>
    </row>
    <row r="132">
      <c r="A132" s="163"/>
    </row>
    <row r="133">
      <c r="A133" s="163"/>
    </row>
    <row r="134">
      <c r="A134" s="163"/>
    </row>
    <row r="135">
      <c r="A135" s="163"/>
    </row>
    <row r="136">
      <c r="A136" s="163"/>
    </row>
    <row r="137">
      <c r="A137" s="163"/>
    </row>
    <row r="138">
      <c r="A138" s="163"/>
    </row>
    <row r="139">
      <c r="A139" s="163"/>
    </row>
    <row r="140">
      <c r="A140" s="163"/>
    </row>
    <row r="141">
      <c r="A141" s="163"/>
    </row>
    <row r="142">
      <c r="A142" s="163"/>
    </row>
    <row r="143">
      <c r="A143" s="163"/>
    </row>
    <row r="144">
      <c r="A144" s="163"/>
    </row>
    <row r="145">
      <c r="A145" s="163"/>
    </row>
    <row r="146">
      <c r="A146" s="163"/>
    </row>
    <row r="147">
      <c r="A147" s="163"/>
    </row>
    <row r="148">
      <c r="A148" s="163"/>
    </row>
    <row r="149">
      <c r="A149" s="163"/>
    </row>
    <row r="150">
      <c r="A150" s="163"/>
    </row>
    <row r="151">
      <c r="A151" s="163"/>
    </row>
    <row r="152">
      <c r="A152" s="163"/>
    </row>
    <row r="153">
      <c r="A153" s="163"/>
    </row>
    <row r="154">
      <c r="A154" s="163"/>
    </row>
    <row r="155">
      <c r="A155" s="163"/>
    </row>
    <row r="156">
      <c r="A156" s="163"/>
    </row>
    <row r="157">
      <c r="A157" s="163"/>
    </row>
    <row r="158">
      <c r="A158" s="163"/>
    </row>
    <row r="159">
      <c r="A159" s="163"/>
    </row>
    <row r="160">
      <c r="A160" s="163"/>
    </row>
    <row r="161">
      <c r="A161" s="163"/>
    </row>
    <row r="162">
      <c r="A162" s="163"/>
    </row>
    <row r="163">
      <c r="A163" s="163"/>
    </row>
    <row r="164">
      <c r="A164" s="163"/>
    </row>
    <row r="165">
      <c r="A165" s="163"/>
    </row>
    <row r="166">
      <c r="A166" s="163"/>
    </row>
    <row r="167">
      <c r="A167" s="163"/>
    </row>
    <row r="168">
      <c r="A168" s="163"/>
    </row>
    <row r="169">
      <c r="A169" s="163"/>
    </row>
    <row r="170">
      <c r="A170" s="163"/>
    </row>
    <row r="171">
      <c r="A171" s="163"/>
    </row>
    <row r="172">
      <c r="A172" s="163"/>
    </row>
    <row r="173">
      <c r="A173" s="163"/>
    </row>
    <row r="174">
      <c r="A174" s="163"/>
    </row>
    <row r="175">
      <c r="A175" s="163"/>
    </row>
    <row r="176">
      <c r="A176" s="163"/>
    </row>
    <row r="177">
      <c r="A177" s="163"/>
    </row>
    <row r="178">
      <c r="A178" s="163"/>
    </row>
    <row r="179">
      <c r="A179" s="163"/>
    </row>
    <row r="180">
      <c r="A180" s="163"/>
    </row>
    <row r="181">
      <c r="A181" s="163"/>
    </row>
    <row r="182">
      <c r="A182" s="163"/>
    </row>
    <row r="183">
      <c r="A183" s="163"/>
    </row>
    <row r="184">
      <c r="A184" s="163"/>
    </row>
    <row r="185">
      <c r="A185" s="163"/>
    </row>
    <row r="186">
      <c r="A186" s="163"/>
    </row>
    <row r="187">
      <c r="A187" s="163"/>
    </row>
    <row r="188">
      <c r="A188" s="163"/>
    </row>
    <row r="189">
      <c r="A189" s="163"/>
    </row>
    <row r="190">
      <c r="A190" s="163"/>
    </row>
    <row r="191">
      <c r="A191" s="163"/>
    </row>
    <row r="192">
      <c r="A192" s="163"/>
    </row>
    <row r="193">
      <c r="A193" s="163"/>
    </row>
    <row r="194">
      <c r="A194" s="163"/>
    </row>
    <row r="195">
      <c r="A195" s="163"/>
    </row>
    <row r="196">
      <c r="A196" s="163"/>
    </row>
    <row r="197">
      <c r="A197" s="163"/>
    </row>
    <row r="198">
      <c r="A198" s="163"/>
    </row>
    <row r="199">
      <c r="A199" s="163"/>
    </row>
    <row r="200">
      <c r="A200" s="163"/>
    </row>
    <row r="201">
      <c r="A201" s="163"/>
    </row>
    <row r="202">
      <c r="A202" s="163"/>
    </row>
    <row r="203">
      <c r="A203" s="163"/>
    </row>
    <row r="204">
      <c r="A204" s="163"/>
    </row>
    <row r="205">
      <c r="A205" s="163"/>
    </row>
    <row r="206">
      <c r="A206" s="163"/>
    </row>
    <row r="207">
      <c r="A207" s="163"/>
    </row>
    <row r="208">
      <c r="A208" s="163"/>
    </row>
    <row r="209">
      <c r="A209" s="163"/>
    </row>
    <row r="210">
      <c r="A210" s="163"/>
    </row>
    <row r="211">
      <c r="A211" s="163"/>
    </row>
    <row r="212">
      <c r="A212" s="163"/>
    </row>
    <row r="213">
      <c r="A213" s="163"/>
    </row>
    <row r="214">
      <c r="A214" s="163"/>
    </row>
    <row r="215">
      <c r="A215" s="163"/>
    </row>
    <row r="216">
      <c r="A216" s="163"/>
    </row>
    <row r="217">
      <c r="A217" s="163"/>
    </row>
    <row r="218">
      <c r="A218" s="163"/>
    </row>
    <row r="219">
      <c r="A219" s="163"/>
    </row>
    <row r="220">
      <c r="A220" s="163"/>
    </row>
    <row r="221">
      <c r="A221" s="163"/>
    </row>
    <row r="222">
      <c r="A222" s="163"/>
    </row>
    <row r="223">
      <c r="A223" s="163"/>
    </row>
    <row r="224">
      <c r="A224" s="163"/>
    </row>
    <row r="225">
      <c r="A225" s="163"/>
    </row>
    <row r="226">
      <c r="A226" s="163"/>
    </row>
    <row r="227">
      <c r="A227" s="163"/>
    </row>
    <row r="228">
      <c r="A228" s="163"/>
    </row>
    <row r="229">
      <c r="A229" s="163"/>
    </row>
    <row r="230">
      <c r="A230" s="163"/>
    </row>
    <row r="231">
      <c r="A231" s="163"/>
    </row>
    <row r="232">
      <c r="A232" s="163"/>
    </row>
    <row r="233">
      <c r="A233" s="163"/>
    </row>
    <row r="234">
      <c r="A234" s="163"/>
    </row>
    <row r="235">
      <c r="A235" s="163"/>
    </row>
    <row r="236">
      <c r="A236" s="163"/>
    </row>
    <row r="237">
      <c r="A237" s="163"/>
    </row>
    <row r="238">
      <c r="A238" s="163"/>
    </row>
    <row r="239">
      <c r="A239" s="163"/>
    </row>
    <row r="240">
      <c r="A240" s="163"/>
    </row>
    <row r="241">
      <c r="A241" s="163"/>
    </row>
    <row r="242">
      <c r="A242" s="163"/>
    </row>
    <row r="243">
      <c r="A243" s="163"/>
    </row>
    <row r="244">
      <c r="A244" s="163"/>
    </row>
    <row r="245">
      <c r="A245" s="163"/>
    </row>
    <row r="246">
      <c r="A246" s="163"/>
    </row>
    <row r="247">
      <c r="A247" s="163"/>
    </row>
    <row r="248">
      <c r="A248" s="163"/>
    </row>
    <row r="249">
      <c r="A249" s="163"/>
    </row>
    <row r="250">
      <c r="A250" s="163"/>
    </row>
    <row r="251">
      <c r="A251" s="163"/>
    </row>
    <row r="252">
      <c r="A252" s="163"/>
    </row>
    <row r="253">
      <c r="A253" s="163"/>
    </row>
    <row r="254">
      <c r="A254" s="163"/>
    </row>
    <row r="255">
      <c r="A255" s="163"/>
    </row>
    <row r="256">
      <c r="A256" s="163"/>
    </row>
    <row r="257">
      <c r="A257" s="163"/>
    </row>
    <row r="258">
      <c r="A258" s="163"/>
    </row>
    <row r="259">
      <c r="A259" s="163"/>
    </row>
    <row r="260">
      <c r="A260" s="163"/>
    </row>
    <row r="261">
      <c r="A261" s="163"/>
    </row>
    <row r="262">
      <c r="A262" s="163"/>
    </row>
    <row r="263">
      <c r="A263" s="163"/>
    </row>
    <row r="264">
      <c r="A264" s="163"/>
    </row>
    <row r="265">
      <c r="A265" s="163"/>
    </row>
    <row r="266">
      <c r="A266" s="163"/>
    </row>
    <row r="267">
      <c r="A267" s="163"/>
    </row>
    <row r="268">
      <c r="A268" s="163"/>
    </row>
    <row r="269">
      <c r="A269" s="163"/>
    </row>
    <row r="270">
      <c r="A270" s="163"/>
    </row>
    <row r="271">
      <c r="A271" s="163"/>
    </row>
    <row r="272">
      <c r="A272" s="163"/>
    </row>
    <row r="273">
      <c r="A273" s="163"/>
    </row>
    <row r="274">
      <c r="A274" s="163"/>
    </row>
    <row r="275">
      <c r="A275" s="163"/>
    </row>
    <row r="276">
      <c r="A276" s="163"/>
    </row>
    <row r="277">
      <c r="A277" s="163"/>
    </row>
    <row r="278">
      <c r="A278" s="163"/>
    </row>
    <row r="279">
      <c r="A279" s="163"/>
    </row>
    <row r="280">
      <c r="A280" s="163"/>
    </row>
    <row r="281">
      <c r="A281" s="163"/>
    </row>
    <row r="282">
      <c r="A282" s="163"/>
    </row>
    <row r="283">
      <c r="A283" s="163"/>
    </row>
    <row r="284">
      <c r="A284" s="163"/>
    </row>
    <row r="285">
      <c r="A285" s="163"/>
    </row>
    <row r="286">
      <c r="A286" s="163"/>
    </row>
    <row r="287">
      <c r="A287" s="163"/>
    </row>
    <row r="288">
      <c r="A288" s="163"/>
    </row>
    <row r="289">
      <c r="A289" s="163"/>
    </row>
    <row r="290">
      <c r="A290" s="163"/>
    </row>
    <row r="291">
      <c r="A291" s="163"/>
    </row>
    <row r="292">
      <c r="A292" s="163"/>
    </row>
    <row r="293">
      <c r="A293" s="163"/>
    </row>
    <row r="294">
      <c r="A294" s="163"/>
    </row>
    <row r="295">
      <c r="A295" s="163"/>
    </row>
    <row r="296">
      <c r="A296" s="163"/>
    </row>
    <row r="297">
      <c r="A297" s="163"/>
    </row>
    <row r="298">
      <c r="A298" s="163"/>
    </row>
    <row r="299">
      <c r="A299" s="163"/>
    </row>
    <row r="300">
      <c r="A300" s="163"/>
    </row>
    <row r="301">
      <c r="A301" s="163"/>
    </row>
    <row r="302">
      <c r="A302" s="163"/>
    </row>
    <row r="303">
      <c r="A303" s="163"/>
    </row>
    <row r="304">
      <c r="A304" s="163"/>
    </row>
    <row r="305">
      <c r="A305" s="163"/>
    </row>
    <row r="306">
      <c r="A306" s="163"/>
    </row>
    <row r="307">
      <c r="A307" s="163"/>
    </row>
    <row r="308">
      <c r="A308" s="163"/>
    </row>
    <row r="309">
      <c r="A309" s="163"/>
    </row>
    <row r="310">
      <c r="A310" s="163"/>
    </row>
    <row r="311">
      <c r="A311" s="163"/>
    </row>
    <row r="312">
      <c r="A312" s="163"/>
    </row>
    <row r="313">
      <c r="A313" s="163"/>
    </row>
    <row r="314">
      <c r="A314" s="163"/>
    </row>
    <row r="315">
      <c r="A315" s="163"/>
    </row>
    <row r="316">
      <c r="A316" s="163"/>
    </row>
    <row r="317">
      <c r="A317" s="163"/>
    </row>
    <row r="318">
      <c r="A318" s="163"/>
    </row>
    <row r="319">
      <c r="A319" s="163"/>
    </row>
    <row r="320">
      <c r="A320" s="163"/>
    </row>
    <row r="321">
      <c r="A321" s="163"/>
    </row>
    <row r="322">
      <c r="A322" s="163"/>
    </row>
    <row r="323">
      <c r="A323" s="163"/>
    </row>
    <row r="324">
      <c r="A324" s="163"/>
    </row>
    <row r="325">
      <c r="A325" s="163"/>
    </row>
    <row r="326">
      <c r="A326" s="163"/>
    </row>
    <row r="327">
      <c r="A327" s="163"/>
    </row>
    <row r="328">
      <c r="A328" s="163"/>
    </row>
    <row r="329">
      <c r="A329" s="163"/>
    </row>
    <row r="330">
      <c r="A330" s="163"/>
    </row>
    <row r="331">
      <c r="A331" s="163"/>
    </row>
    <row r="332">
      <c r="A332" s="163"/>
    </row>
    <row r="333">
      <c r="A333" s="163"/>
    </row>
    <row r="334">
      <c r="A334" s="163"/>
    </row>
    <row r="335">
      <c r="A335" s="163"/>
    </row>
    <row r="336">
      <c r="A336" s="163"/>
    </row>
    <row r="337">
      <c r="A337" s="163"/>
    </row>
    <row r="338">
      <c r="A338" s="163"/>
    </row>
    <row r="339">
      <c r="A339" s="163"/>
    </row>
    <row r="340">
      <c r="A340" s="163"/>
    </row>
    <row r="341">
      <c r="A341" s="163"/>
    </row>
    <row r="342">
      <c r="A342" s="163"/>
    </row>
    <row r="343">
      <c r="A343" s="163"/>
    </row>
    <row r="344">
      <c r="A344" s="163"/>
    </row>
    <row r="345">
      <c r="A345" s="163"/>
    </row>
    <row r="346">
      <c r="A346" s="163"/>
    </row>
    <row r="347">
      <c r="A347" s="163"/>
    </row>
    <row r="348">
      <c r="A348" s="163"/>
    </row>
    <row r="349">
      <c r="A349" s="163"/>
    </row>
    <row r="350">
      <c r="A350" s="163"/>
    </row>
    <row r="351">
      <c r="A351" s="163"/>
    </row>
    <row r="352">
      <c r="A352" s="163"/>
    </row>
    <row r="353">
      <c r="A353" s="163"/>
    </row>
    <row r="354">
      <c r="A354" s="163"/>
    </row>
    <row r="355">
      <c r="A355" s="163"/>
    </row>
    <row r="356">
      <c r="A356" s="163"/>
    </row>
    <row r="357">
      <c r="A357" s="163"/>
    </row>
    <row r="358">
      <c r="A358" s="163"/>
    </row>
    <row r="359">
      <c r="A359" s="163"/>
    </row>
    <row r="360">
      <c r="A360" s="163"/>
    </row>
    <row r="361">
      <c r="A361" s="163"/>
    </row>
    <row r="362">
      <c r="A362" s="163"/>
    </row>
    <row r="363">
      <c r="A363" s="163"/>
    </row>
    <row r="364">
      <c r="A364" s="163"/>
    </row>
    <row r="365">
      <c r="A365" s="163"/>
    </row>
    <row r="366">
      <c r="A366" s="163"/>
    </row>
    <row r="367">
      <c r="A367" s="163"/>
    </row>
    <row r="368">
      <c r="A368" s="163"/>
    </row>
    <row r="369">
      <c r="A369" s="163"/>
    </row>
    <row r="370">
      <c r="A370" s="163"/>
    </row>
    <row r="371">
      <c r="A371" s="163"/>
    </row>
    <row r="372">
      <c r="A372" s="163"/>
    </row>
    <row r="373">
      <c r="A373" s="163"/>
    </row>
    <row r="374">
      <c r="A374" s="163"/>
    </row>
    <row r="375">
      <c r="A375" s="163"/>
    </row>
    <row r="376">
      <c r="A376" s="163"/>
    </row>
    <row r="377">
      <c r="A377" s="163"/>
    </row>
    <row r="378">
      <c r="A378" s="163"/>
    </row>
    <row r="379">
      <c r="A379" s="163"/>
    </row>
    <row r="380">
      <c r="A380" s="163"/>
    </row>
    <row r="381">
      <c r="A381" s="163"/>
    </row>
    <row r="382">
      <c r="A382" s="163"/>
    </row>
    <row r="383">
      <c r="A383" s="163"/>
    </row>
    <row r="384">
      <c r="A384" s="163"/>
    </row>
    <row r="385">
      <c r="A385" s="163"/>
    </row>
    <row r="386">
      <c r="A386" s="163"/>
    </row>
    <row r="387">
      <c r="A387" s="163"/>
    </row>
    <row r="388">
      <c r="A388" s="163"/>
    </row>
    <row r="389">
      <c r="A389" s="163"/>
    </row>
    <row r="390">
      <c r="A390" s="163"/>
    </row>
    <row r="391">
      <c r="A391" s="163"/>
    </row>
    <row r="392">
      <c r="A392" s="163"/>
    </row>
    <row r="393">
      <c r="A393" s="163"/>
    </row>
    <row r="394">
      <c r="A394" s="163"/>
    </row>
    <row r="395">
      <c r="A395" s="163"/>
    </row>
    <row r="396">
      <c r="A396" s="163"/>
    </row>
    <row r="397">
      <c r="A397" s="163"/>
    </row>
    <row r="398">
      <c r="A398" s="163"/>
    </row>
    <row r="399">
      <c r="A399" s="163"/>
    </row>
    <row r="400">
      <c r="A400" s="163"/>
    </row>
    <row r="401">
      <c r="A401" s="163"/>
    </row>
    <row r="402">
      <c r="A402" s="163"/>
    </row>
    <row r="403">
      <c r="A403" s="163"/>
    </row>
    <row r="404">
      <c r="A404" s="163"/>
    </row>
    <row r="405">
      <c r="A405" s="163"/>
    </row>
    <row r="406">
      <c r="A406" s="163"/>
    </row>
    <row r="407">
      <c r="A407" s="163"/>
    </row>
    <row r="408">
      <c r="A408" s="163"/>
    </row>
    <row r="409">
      <c r="A409" s="163"/>
    </row>
    <row r="410">
      <c r="A410" s="163"/>
    </row>
    <row r="411">
      <c r="A411" s="163"/>
    </row>
    <row r="412">
      <c r="A412" s="163"/>
    </row>
    <row r="413">
      <c r="A413" s="163"/>
    </row>
    <row r="414">
      <c r="A414" s="163"/>
    </row>
    <row r="415">
      <c r="A415" s="163"/>
    </row>
    <row r="416">
      <c r="A416" s="163"/>
    </row>
    <row r="417">
      <c r="A417" s="163"/>
    </row>
    <row r="418">
      <c r="A418" s="163"/>
    </row>
    <row r="419">
      <c r="A419" s="163"/>
    </row>
    <row r="420">
      <c r="A420" s="163"/>
    </row>
    <row r="421">
      <c r="A421" s="163"/>
    </row>
    <row r="422">
      <c r="A422" s="163"/>
    </row>
    <row r="423">
      <c r="A423" s="163"/>
    </row>
    <row r="424">
      <c r="A424" s="163"/>
    </row>
    <row r="425">
      <c r="A425" s="163"/>
    </row>
    <row r="426">
      <c r="A426" s="163"/>
    </row>
    <row r="427">
      <c r="A427" s="163"/>
    </row>
    <row r="428">
      <c r="A428" s="163"/>
    </row>
    <row r="429">
      <c r="A429" s="163"/>
    </row>
    <row r="430">
      <c r="A430" s="163"/>
    </row>
    <row r="431">
      <c r="A431" s="163"/>
    </row>
    <row r="432">
      <c r="A432" s="163"/>
    </row>
    <row r="433">
      <c r="A433" s="163"/>
    </row>
    <row r="434">
      <c r="A434" s="163"/>
    </row>
    <row r="435">
      <c r="A435" s="163"/>
    </row>
    <row r="436">
      <c r="A436" s="163"/>
    </row>
    <row r="437">
      <c r="A437" s="163"/>
    </row>
    <row r="438">
      <c r="A438" s="163"/>
    </row>
    <row r="439">
      <c r="A439" s="163"/>
    </row>
    <row r="440">
      <c r="A440" s="163"/>
    </row>
    <row r="441">
      <c r="A441" s="163"/>
    </row>
    <row r="442">
      <c r="A442" s="163"/>
    </row>
    <row r="443">
      <c r="A443" s="163"/>
    </row>
    <row r="444">
      <c r="A444" s="163"/>
    </row>
    <row r="445">
      <c r="A445" s="163"/>
    </row>
    <row r="446">
      <c r="A446" s="163"/>
    </row>
    <row r="447">
      <c r="A447" s="163"/>
    </row>
    <row r="448">
      <c r="A448" s="163"/>
    </row>
    <row r="449">
      <c r="A449" s="163"/>
    </row>
    <row r="450">
      <c r="A450" s="163"/>
    </row>
    <row r="451">
      <c r="A451" s="163"/>
    </row>
    <row r="452">
      <c r="A452" s="163"/>
    </row>
    <row r="453">
      <c r="A453" s="163"/>
    </row>
    <row r="454">
      <c r="A454" s="163"/>
    </row>
    <row r="455">
      <c r="A455" s="163"/>
    </row>
    <row r="456">
      <c r="A456" s="163"/>
    </row>
    <row r="457">
      <c r="A457" s="163"/>
    </row>
    <row r="458">
      <c r="A458" s="163"/>
    </row>
    <row r="459">
      <c r="A459" s="163"/>
    </row>
    <row r="460">
      <c r="A460" s="163"/>
    </row>
    <row r="461">
      <c r="A461" s="163"/>
    </row>
    <row r="462">
      <c r="A462" s="163"/>
    </row>
    <row r="463">
      <c r="A463" s="163"/>
    </row>
    <row r="464">
      <c r="A464" s="163"/>
    </row>
    <row r="465">
      <c r="A465" s="163"/>
    </row>
    <row r="466">
      <c r="A466" s="163"/>
    </row>
    <row r="467">
      <c r="A467" s="163"/>
    </row>
    <row r="468">
      <c r="A468" s="163"/>
    </row>
    <row r="469">
      <c r="A469" s="163"/>
    </row>
    <row r="470">
      <c r="A470" s="163"/>
    </row>
    <row r="471">
      <c r="A471" s="163"/>
    </row>
    <row r="472">
      <c r="A472" s="163"/>
    </row>
    <row r="473">
      <c r="A473" s="163"/>
    </row>
    <row r="474">
      <c r="A474" s="163"/>
    </row>
    <row r="475">
      <c r="A475" s="163"/>
    </row>
    <row r="476">
      <c r="A476" s="163"/>
    </row>
    <row r="477">
      <c r="A477" s="163"/>
    </row>
    <row r="478">
      <c r="A478" s="163"/>
    </row>
    <row r="479">
      <c r="A479" s="163"/>
    </row>
    <row r="480">
      <c r="A480" s="163"/>
    </row>
    <row r="481">
      <c r="A481" s="163"/>
    </row>
    <row r="482">
      <c r="A482" s="163"/>
    </row>
    <row r="483">
      <c r="A483" s="163"/>
    </row>
    <row r="484">
      <c r="A484" s="163"/>
    </row>
    <row r="485">
      <c r="A485" s="163"/>
    </row>
    <row r="486">
      <c r="A486" s="163"/>
    </row>
    <row r="487">
      <c r="A487" s="163"/>
    </row>
    <row r="488">
      <c r="A488" s="163"/>
    </row>
    <row r="489">
      <c r="A489" s="163"/>
    </row>
    <row r="490">
      <c r="A490" s="163"/>
    </row>
    <row r="491">
      <c r="A491" s="163"/>
    </row>
    <row r="492">
      <c r="A492" s="163"/>
    </row>
    <row r="493">
      <c r="A493" s="163"/>
    </row>
    <row r="494">
      <c r="A494" s="163"/>
    </row>
    <row r="495">
      <c r="A495" s="163"/>
    </row>
    <row r="496">
      <c r="A496" s="163"/>
    </row>
    <row r="497">
      <c r="A497" s="163"/>
    </row>
    <row r="498">
      <c r="A498" s="163"/>
    </row>
    <row r="499">
      <c r="A499" s="163"/>
    </row>
    <row r="500">
      <c r="A500" s="163"/>
    </row>
    <row r="501">
      <c r="A501" s="163"/>
    </row>
    <row r="502">
      <c r="A502" s="163"/>
    </row>
    <row r="503">
      <c r="A503" s="163"/>
    </row>
    <row r="504">
      <c r="A504" s="163"/>
    </row>
    <row r="505">
      <c r="A505" s="163"/>
    </row>
    <row r="506">
      <c r="A506" s="163"/>
    </row>
    <row r="507">
      <c r="A507" s="163"/>
    </row>
    <row r="508">
      <c r="A508" s="163"/>
    </row>
    <row r="509">
      <c r="A509" s="163"/>
    </row>
    <row r="510">
      <c r="A510" s="163"/>
    </row>
    <row r="511">
      <c r="A511" s="163"/>
    </row>
    <row r="512">
      <c r="A512" s="163"/>
    </row>
    <row r="513">
      <c r="A513" s="163"/>
    </row>
    <row r="514">
      <c r="A514" s="163"/>
    </row>
    <row r="515">
      <c r="A515" s="163"/>
    </row>
    <row r="516">
      <c r="A516" s="163"/>
    </row>
    <row r="517">
      <c r="A517" s="163"/>
    </row>
    <row r="518">
      <c r="A518" s="163"/>
    </row>
    <row r="519">
      <c r="A519" s="163"/>
    </row>
    <row r="520">
      <c r="A520" s="163"/>
    </row>
    <row r="521">
      <c r="A521" s="163"/>
    </row>
    <row r="522">
      <c r="A522" s="163"/>
    </row>
    <row r="523">
      <c r="A523" s="163"/>
    </row>
    <row r="524">
      <c r="A524" s="163"/>
    </row>
    <row r="525">
      <c r="A525" s="163"/>
    </row>
    <row r="526">
      <c r="A526" s="163"/>
    </row>
    <row r="527">
      <c r="A527" s="163"/>
    </row>
    <row r="528">
      <c r="A528" s="163"/>
    </row>
    <row r="529">
      <c r="A529" s="163"/>
    </row>
    <row r="530">
      <c r="A530" s="163"/>
    </row>
    <row r="531">
      <c r="A531" s="163"/>
    </row>
    <row r="532">
      <c r="A532" s="163"/>
    </row>
    <row r="533">
      <c r="A533" s="163"/>
    </row>
    <row r="534">
      <c r="A534" s="163"/>
    </row>
    <row r="535">
      <c r="A535" s="163"/>
    </row>
    <row r="536">
      <c r="A536" s="163"/>
    </row>
    <row r="537">
      <c r="A537" s="163"/>
    </row>
    <row r="538">
      <c r="A538" s="163"/>
    </row>
    <row r="539">
      <c r="A539" s="163"/>
    </row>
    <row r="540">
      <c r="A540" s="163"/>
    </row>
    <row r="541">
      <c r="A541" s="163"/>
    </row>
    <row r="542">
      <c r="A542" s="163"/>
    </row>
    <row r="543">
      <c r="A543" s="163"/>
    </row>
    <row r="544">
      <c r="A544" s="163"/>
    </row>
    <row r="545">
      <c r="A545" s="163"/>
    </row>
    <row r="546">
      <c r="A546" s="163"/>
    </row>
    <row r="547">
      <c r="A547" s="163"/>
    </row>
    <row r="548">
      <c r="A548" s="163"/>
    </row>
    <row r="549">
      <c r="A549" s="163"/>
    </row>
    <row r="550">
      <c r="A550" s="163"/>
    </row>
    <row r="551">
      <c r="A551" s="163"/>
    </row>
    <row r="552">
      <c r="A552" s="163"/>
    </row>
    <row r="553">
      <c r="A553" s="163"/>
    </row>
    <row r="554">
      <c r="A554" s="163"/>
    </row>
    <row r="555">
      <c r="A555" s="163"/>
    </row>
    <row r="556">
      <c r="A556" s="163"/>
    </row>
    <row r="557">
      <c r="A557" s="163"/>
    </row>
    <row r="558">
      <c r="A558" s="163"/>
    </row>
    <row r="559">
      <c r="A559" s="163"/>
    </row>
    <row r="560">
      <c r="A560" s="163"/>
    </row>
    <row r="561">
      <c r="A561" s="163"/>
    </row>
    <row r="562">
      <c r="A562" s="163"/>
    </row>
    <row r="563">
      <c r="A563" s="163"/>
    </row>
    <row r="564">
      <c r="A564" s="163"/>
    </row>
    <row r="565">
      <c r="A565" s="163"/>
    </row>
    <row r="566">
      <c r="A566" s="163"/>
    </row>
    <row r="567">
      <c r="A567" s="163"/>
    </row>
    <row r="568">
      <c r="A568" s="163"/>
    </row>
    <row r="569">
      <c r="A569" s="163"/>
    </row>
    <row r="570">
      <c r="A570" s="163"/>
    </row>
    <row r="571">
      <c r="A571" s="163"/>
    </row>
    <row r="572">
      <c r="A572" s="163"/>
    </row>
    <row r="573">
      <c r="A573" s="163"/>
    </row>
    <row r="574">
      <c r="A574" s="163"/>
    </row>
    <row r="575">
      <c r="A575" s="163"/>
    </row>
    <row r="576">
      <c r="A576" s="163"/>
    </row>
    <row r="577">
      <c r="A577" s="163"/>
    </row>
    <row r="578">
      <c r="A578" s="163"/>
    </row>
    <row r="579">
      <c r="A579" s="163"/>
    </row>
    <row r="580">
      <c r="A580" s="163"/>
    </row>
    <row r="581">
      <c r="A581" s="163"/>
    </row>
    <row r="582">
      <c r="A582" s="163"/>
    </row>
    <row r="583">
      <c r="A583" s="163"/>
    </row>
    <row r="584">
      <c r="A584" s="163"/>
    </row>
    <row r="585">
      <c r="A585" s="163"/>
    </row>
    <row r="586">
      <c r="A586" s="163"/>
    </row>
    <row r="587">
      <c r="A587" s="163"/>
    </row>
    <row r="588">
      <c r="A588" s="163"/>
    </row>
    <row r="589">
      <c r="A589" s="163"/>
    </row>
    <row r="590">
      <c r="A590" s="163"/>
    </row>
    <row r="591">
      <c r="A591" s="163"/>
    </row>
    <row r="592">
      <c r="A592" s="163"/>
    </row>
    <row r="593">
      <c r="A593" s="163"/>
    </row>
    <row r="594">
      <c r="A594" s="163"/>
    </row>
    <row r="595">
      <c r="A595" s="163"/>
    </row>
    <row r="596">
      <c r="A596" s="163"/>
    </row>
    <row r="597">
      <c r="A597" s="163"/>
    </row>
    <row r="598">
      <c r="A598" s="163"/>
    </row>
    <row r="599">
      <c r="A599" s="163"/>
    </row>
    <row r="600">
      <c r="A600" s="163"/>
    </row>
    <row r="601">
      <c r="A601" s="163"/>
    </row>
    <row r="602">
      <c r="A602" s="163"/>
    </row>
    <row r="603">
      <c r="A603" s="163"/>
    </row>
    <row r="604">
      <c r="A604" s="163"/>
    </row>
    <row r="605">
      <c r="A605" s="163"/>
    </row>
    <row r="606">
      <c r="A606" s="163"/>
    </row>
    <row r="607">
      <c r="A607" s="163"/>
    </row>
    <row r="608">
      <c r="A608" s="163"/>
    </row>
    <row r="609">
      <c r="A609" s="163"/>
    </row>
    <row r="610">
      <c r="A610" s="163"/>
    </row>
    <row r="611">
      <c r="A611" s="163"/>
    </row>
    <row r="612">
      <c r="A612" s="163"/>
    </row>
    <row r="613">
      <c r="A613" s="163"/>
    </row>
    <row r="614">
      <c r="A614" s="163"/>
    </row>
    <row r="615">
      <c r="A615" s="163"/>
    </row>
    <row r="616">
      <c r="A616" s="163"/>
    </row>
    <row r="617">
      <c r="A617" s="163"/>
    </row>
    <row r="618">
      <c r="A618" s="163"/>
    </row>
    <row r="619">
      <c r="A619" s="163"/>
    </row>
    <row r="620">
      <c r="A620" s="163"/>
    </row>
    <row r="621">
      <c r="A621" s="163"/>
    </row>
    <row r="622">
      <c r="A622" s="163"/>
    </row>
    <row r="623">
      <c r="A623" s="163"/>
    </row>
    <row r="624">
      <c r="A624" s="163"/>
    </row>
    <row r="625">
      <c r="A625" s="163"/>
    </row>
    <row r="626">
      <c r="A626" s="163"/>
    </row>
    <row r="627">
      <c r="A627" s="163"/>
    </row>
    <row r="628">
      <c r="A628" s="163"/>
    </row>
    <row r="629">
      <c r="A629" s="163"/>
    </row>
    <row r="630">
      <c r="A630" s="163"/>
    </row>
    <row r="631">
      <c r="A631" s="163"/>
    </row>
    <row r="632">
      <c r="A632" s="163"/>
    </row>
    <row r="633">
      <c r="A633" s="163"/>
    </row>
    <row r="634">
      <c r="A634" s="163"/>
    </row>
    <row r="635">
      <c r="A635" s="163"/>
    </row>
    <row r="636">
      <c r="A636" s="163"/>
    </row>
    <row r="637">
      <c r="A637" s="163"/>
    </row>
    <row r="638">
      <c r="A638" s="163"/>
    </row>
    <row r="639">
      <c r="A639" s="163"/>
    </row>
    <row r="640">
      <c r="A640" s="163"/>
    </row>
    <row r="641">
      <c r="A641" s="163"/>
    </row>
    <row r="642">
      <c r="A642" s="163"/>
    </row>
    <row r="643">
      <c r="A643" s="163"/>
    </row>
    <row r="644">
      <c r="A644" s="163"/>
    </row>
    <row r="645">
      <c r="A645" s="163"/>
    </row>
    <row r="646">
      <c r="A646" s="163"/>
    </row>
    <row r="647">
      <c r="A647" s="163"/>
    </row>
    <row r="648">
      <c r="A648" s="163"/>
    </row>
    <row r="649">
      <c r="A649" s="163"/>
    </row>
    <row r="650">
      <c r="A650" s="163"/>
    </row>
    <row r="651">
      <c r="A651" s="163"/>
    </row>
    <row r="652">
      <c r="A652" s="163"/>
    </row>
    <row r="653">
      <c r="A653" s="163"/>
    </row>
    <row r="654">
      <c r="A654" s="163"/>
    </row>
    <row r="655">
      <c r="A655" s="163"/>
    </row>
    <row r="656">
      <c r="A656" s="163"/>
    </row>
    <row r="657">
      <c r="A657" s="163"/>
    </row>
    <row r="658">
      <c r="A658" s="163"/>
    </row>
    <row r="659">
      <c r="A659" s="163"/>
    </row>
    <row r="660">
      <c r="A660" s="163"/>
    </row>
    <row r="661">
      <c r="A661" s="163"/>
    </row>
    <row r="662">
      <c r="A662" s="163"/>
    </row>
    <row r="663">
      <c r="A663" s="163"/>
    </row>
    <row r="664">
      <c r="A664" s="163"/>
    </row>
    <row r="665">
      <c r="A665" s="163"/>
    </row>
    <row r="666">
      <c r="A666" s="163"/>
    </row>
    <row r="667">
      <c r="A667" s="163"/>
    </row>
    <row r="668">
      <c r="A668" s="163"/>
    </row>
    <row r="669">
      <c r="A669" s="163"/>
    </row>
    <row r="670">
      <c r="A670" s="163"/>
    </row>
    <row r="671">
      <c r="A671" s="163"/>
    </row>
    <row r="672">
      <c r="A672" s="163"/>
    </row>
    <row r="673">
      <c r="A673" s="163"/>
    </row>
    <row r="674">
      <c r="A674" s="163"/>
    </row>
    <row r="675">
      <c r="A675" s="163"/>
    </row>
    <row r="676">
      <c r="A676" s="163"/>
    </row>
    <row r="677">
      <c r="A677" s="163"/>
    </row>
    <row r="678">
      <c r="A678" s="163"/>
    </row>
    <row r="679">
      <c r="A679" s="163"/>
    </row>
    <row r="680">
      <c r="A680" s="163"/>
    </row>
    <row r="681">
      <c r="A681" s="163"/>
    </row>
    <row r="682">
      <c r="A682" s="163"/>
    </row>
    <row r="683">
      <c r="A683" s="163"/>
    </row>
    <row r="684">
      <c r="A684" s="163"/>
    </row>
    <row r="685">
      <c r="A685" s="163"/>
    </row>
    <row r="686">
      <c r="A686" s="163"/>
    </row>
    <row r="687">
      <c r="A687" s="163"/>
    </row>
    <row r="688">
      <c r="A688" s="163"/>
    </row>
    <row r="689">
      <c r="A689" s="163"/>
    </row>
    <row r="690">
      <c r="A690" s="163"/>
    </row>
    <row r="691">
      <c r="A691" s="163"/>
    </row>
    <row r="692">
      <c r="A692" s="163"/>
    </row>
    <row r="693">
      <c r="A693" s="163"/>
    </row>
    <row r="694">
      <c r="A694" s="163"/>
    </row>
    <row r="695">
      <c r="A695" s="163"/>
    </row>
    <row r="696">
      <c r="A696" s="163"/>
    </row>
    <row r="697">
      <c r="A697" s="163"/>
    </row>
    <row r="698">
      <c r="A698" s="163"/>
    </row>
    <row r="699">
      <c r="A699" s="163"/>
    </row>
    <row r="700">
      <c r="A700" s="163"/>
    </row>
    <row r="701">
      <c r="A701" s="163"/>
    </row>
    <row r="702">
      <c r="A702" s="163"/>
    </row>
    <row r="703">
      <c r="A703" s="163"/>
    </row>
    <row r="704">
      <c r="A704" s="163"/>
    </row>
    <row r="705">
      <c r="A705" s="163"/>
    </row>
    <row r="706">
      <c r="A706" s="163"/>
    </row>
    <row r="707">
      <c r="A707" s="163"/>
    </row>
    <row r="708">
      <c r="A708" s="163"/>
    </row>
    <row r="709">
      <c r="A709" s="163"/>
    </row>
    <row r="710">
      <c r="A710" s="163"/>
    </row>
    <row r="711">
      <c r="A711" s="163"/>
    </row>
    <row r="712">
      <c r="A712" s="163"/>
    </row>
    <row r="713">
      <c r="A713" s="163"/>
    </row>
    <row r="714">
      <c r="A714" s="163"/>
    </row>
    <row r="715">
      <c r="A715" s="163"/>
    </row>
    <row r="716">
      <c r="A716" s="163"/>
    </row>
    <row r="717">
      <c r="A717" s="163"/>
    </row>
    <row r="718">
      <c r="A718" s="163"/>
    </row>
    <row r="719">
      <c r="A719" s="163"/>
    </row>
    <row r="720">
      <c r="A720" s="163"/>
    </row>
    <row r="721">
      <c r="A721" s="163"/>
    </row>
    <row r="722">
      <c r="A722" s="163"/>
    </row>
    <row r="723">
      <c r="A723" s="163"/>
    </row>
    <row r="724">
      <c r="A724" s="163"/>
    </row>
    <row r="725">
      <c r="A725" s="163"/>
    </row>
    <row r="726">
      <c r="A726" s="163"/>
    </row>
    <row r="727">
      <c r="A727" s="163"/>
    </row>
    <row r="728">
      <c r="A728" s="163"/>
    </row>
    <row r="729">
      <c r="A729" s="163"/>
    </row>
    <row r="730">
      <c r="A730" s="163"/>
    </row>
    <row r="731">
      <c r="A731" s="163"/>
    </row>
    <row r="732">
      <c r="A732" s="163"/>
    </row>
    <row r="733">
      <c r="A733" s="163"/>
    </row>
    <row r="734">
      <c r="A734" s="163"/>
    </row>
    <row r="735">
      <c r="A735" s="163"/>
    </row>
    <row r="736">
      <c r="A736" s="163"/>
    </row>
    <row r="737">
      <c r="A737" s="163"/>
    </row>
    <row r="738">
      <c r="A738" s="163"/>
    </row>
    <row r="739">
      <c r="A739" s="163"/>
    </row>
    <row r="740">
      <c r="A740" s="163"/>
    </row>
    <row r="741">
      <c r="A741" s="163"/>
    </row>
    <row r="742">
      <c r="A742" s="163"/>
    </row>
    <row r="743">
      <c r="A743" s="163"/>
    </row>
    <row r="744">
      <c r="A744" s="163"/>
    </row>
    <row r="745">
      <c r="A745" s="163"/>
    </row>
    <row r="746">
      <c r="A746" s="163"/>
    </row>
    <row r="747">
      <c r="A747" s="163"/>
    </row>
    <row r="748">
      <c r="A748" s="163"/>
    </row>
    <row r="749">
      <c r="A749" s="163"/>
    </row>
    <row r="750">
      <c r="A750" s="163"/>
    </row>
    <row r="751">
      <c r="A751" s="163"/>
    </row>
    <row r="752">
      <c r="A752" s="163"/>
    </row>
    <row r="753">
      <c r="A753" s="163"/>
    </row>
    <row r="754">
      <c r="A754" s="163"/>
    </row>
    <row r="755">
      <c r="A755" s="163"/>
    </row>
    <row r="756">
      <c r="A756" s="163"/>
    </row>
    <row r="757">
      <c r="A757" s="163"/>
    </row>
    <row r="758">
      <c r="A758" s="163"/>
    </row>
    <row r="759">
      <c r="A759" s="163"/>
    </row>
    <row r="760">
      <c r="A760" s="163"/>
    </row>
    <row r="761">
      <c r="A761" s="163"/>
    </row>
    <row r="762">
      <c r="A762" s="163"/>
    </row>
    <row r="763">
      <c r="A763" s="163"/>
    </row>
    <row r="764">
      <c r="A764" s="163"/>
    </row>
    <row r="765">
      <c r="A765" s="163"/>
    </row>
    <row r="766">
      <c r="A766" s="163"/>
    </row>
    <row r="767">
      <c r="A767" s="163"/>
    </row>
    <row r="768">
      <c r="A768" s="163"/>
    </row>
    <row r="769">
      <c r="A769" s="163"/>
    </row>
    <row r="770">
      <c r="A770" s="163"/>
    </row>
    <row r="771">
      <c r="A771" s="163"/>
    </row>
    <row r="772">
      <c r="A772" s="163"/>
    </row>
    <row r="773">
      <c r="A773" s="163"/>
    </row>
    <row r="774">
      <c r="A774" s="163"/>
    </row>
    <row r="775">
      <c r="A775" s="163"/>
    </row>
    <row r="776">
      <c r="A776" s="163"/>
    </row>
    <row r="777">
      <c r="A777" s="163"/>
    </row>
    <row r="778">
      <c r="A778" s="163"/>
    </row>
    <row r="779">
      <c r="A779" s="163"/>
    </row>
    <row r="780">
      <c r="A780" s="163"/>
    </row>
    <row r="781">
      <c r="A781" s="163"/>
    </row>
    <row r="782">
      <c r="A782" s="163"/>
    </row>
    <row r="783">
      <c r="A783" s="163"/>
    </row>
    <row r="784">
      <c r="A784" s="163"/>
    </row>
    <row r="785">
      <c r="A785" s="163"/>
    </row>
    <row r="786">
      <c r="A786" s="163"/>
    </row>
    <row r="787">
      <c r="A787" s="163"/>
    </row>
    <row r="788">
      <c r="A788" s="163"/>
    </row>
    <row r="789">
      <c r="A789" s="163"/>
    </row>
    <row r="790">
      <c r="A790" s="163"/>
    </row>
    <row r="791">
      <c r="A791" s="163"/>
    </row>
    <row r="792">
      <c r="A792" s="163"/>
    </row>
    <row r="793">
      <c r="A793" s="163"/>
    </row>
    <row r="794">
      <c r="A794" s="163"/>
    </row>
    <row r="795">
      <c r="A795" s="163"/>
    </row>
    <row r="796">
      <c r="A796" s="163"/>
    </row>
    <row r="797">
      <c r="A797" s="163"/>
    </row>
    <row r="798">
      <c r="A798" s="163"/>
    </row>
    <row r="799">
      <c r="A799" s="163"/>
    </row>
    <row r="800">
      <c r="A800" s="163"/>
    </row>
    <row r="801">
      <c r="A801" s="163"/>
    </row>
    <row r="802">
      <c r="A802" s="163"/>
    </row>
    <row r="803">
      <c r="A803" s="163"/>
    </row>
    <row r="804">
      <c r="A804" s="163"/>
    </row>
    <row r="805">
      <c r="A805" s="163"/>
    </row>
    <row r="806">
      <c r="A806" s="163"/>
    </row>
    <row r="807">
      <c r="A807" s="163"/>
    </row>
    <row r="808">
      <c r="A808" s="163"/>
    </row>
    <row r="809">
      <c r="A809" s="163"/>
    </row>
    <row r="810">
      <c r="A810" s="163"/>
    </row>
    <row r="811">
      <c r="A811" s="163"/>
    </row>
    <row r="812">
      <c r="A812" s="163"/>
    </row>
    <row r="813">
      <c r="A813" s="163"/>
    </row>
    <row r="814">
      <c r="A814" s="163"/>
    </row>
    <row r="815">
      <c r="A815" s="163"/>
    </row>
    <row r="816">
      <c r="A816" s="163"/>
    </row>
    <row r="817">
      <c r="A817" s="163"/>
    </row>
    <row r="818">
      <c r="A818" s="163"/>
    </row>
    <row r="819">
      <c r="A819" s="163"/>
    </row>
    <row r="820">
      <c r="A820" s="163"/>
    </row>
    <row r="821">
      <c r="A821" s="163"/>
    </row>
    <row r="822">
      <c r="A822" s="163"/>
    </row>
    <row r="823">
      <c r="A823" s="163"/>
    </row>
    <row r="824">
      <c r="A824" s="163"/>
    </row>
    <row r="825">
      <c r="A825" s="163"/>
    </row>
    <row r="826">
      <c r="A826" s="163"/>
    </row>
    <row r="827">
      <c r="A827" s="163"/>
    </row>
    <row r="828">
      <c r="A828" s="163"/>
    </row>
    <row r="829">
      <c r="A829" s="163"/>
    </row>
    <row r="830">
      <c r="A830" s="163"/>
    </row>
    <row r="831">
      <c r="A831" s="163"/>
    </row>
    <row r="832">
      <c r="A832" s="163"/>
    </row>
    <row r="833">
      <c r="A833" s="163"/>
    </row>
    <row r="834">
      <c r="A834" s="163"/>
    </row>
    <row r="835">
      <c r="A835" s="163"/>
    </row>
    <row r="836">
      <c r="A836" s="163"/>
    </row>
    <row r="837">
      <c r="A837" s="163"/>
    </row>
    <row r="838">
      <c r="A838" s="163"/>
    </row>
    <row r="839">
      <c r="A839" s="163"/>
    </row>
    <row r="840">
      <c r="A840" s="163"/>
    </row>
    <row r="841">
      <c r="A841" s="163"/>
    </row>
    <row r="842">
      <c r="A842" s="163"/>
    </row>
    <row r="843">
      <c r="A843" s="163"/>
    </row>
    <row r="844">
      <c r="A844" s="163"/>
    </row>
    <row r="845">
      <c r="A845" s="163"/>
    </row>
    <row r="846">
      <c r="A846" s="163"/>
    </row>
    <row r="847">
      <c r="A847" s="163"/>
    </row>
    <row r="848">
      <c r="A848" s="163"/>
    </row>
    <row r="849">
      <c r="A849" s="163"/>
    </row>
    <row r="850">
      <c r="A850" s="163"/>
    </row>
    <row r="851">
      <c r="A851" s="163"/>
    </row>
    <row r="852">
      <c r="A852" s="163"/>
    </row>
    <row r="853">
      <c r="A853" s="163"/>
    </row>
    <row r="854">
      <c r="A854" s="163"/>
    </row>
    <row r="855">
      <c r="A855" s="163"/>
    </row>
    <row r="856">
      <c r="A856" s="163"/>
    </row>
    <row r="857">
      <c r="A857" s="163"/>
    </row>
    <row r="858">
      <c r="A858" s="163"/>
    </row>
    <row r="859">
      <c r="A859" s="163"/>
    </row>
    <row r="860">
      <c r="A860" s="163"/>
    </row>
    <row r="861">
      <c r="A861" s="163"/>
    </row>
    <row r="862">
      <c r="A862" s="163"/>
    </row>
    <row r="863">
      <c r="A863" s="163"/>
    </row>
    <row r="864">
      <c r="A864" s="163"/>
    </row>
    <row r="865">
      <c r="A865" s="163"/>
    </row>
    <row r="866">
      <c r="A866" s="163"/>
    </row>
    <row r="867">
      <c r="A867" s="163"/>
    </row>
    <row r="868">
      <c r="A868" s="163"/>
    </row>
    <row r="869">
      <c r="A869" s="163"/>
    </row>
    <row r="870">
      <c r="A870" s="163"/>
    </row>
    <row r="871">
      <c r="A871" s="163"/>
    </row>
    <row r="872">
      <c r="A872" s="163"/>
    </row>
    <row r="873">
      <c r="A873" s="163"/>
    </row>
    <row r="874">
      <c r="A874" s="163"/>
    </row>
    <row r="875">
      <c r="A875" s="163"/>
    </row>
    <row r="876">
      <c r="A876" s="163"/>
    </row>
    <row r="877">
      <c r="A877" s="163"/>
    </row>
    <row r="878">
      <c r="A878" s="163"/>
    </row>
    <row r="879">
      <c r="A879" s="163"/>
    </row>
    <row r="880">
      <c r="A880" s="163"/>
    </row>
    <row r="881">
      <c r="A881" s="163"/>
    </row>
    <row r="882">
      <c r="A882" s="163"/>
    </row>
    <row r="883">
      <c r="A883" s="163"/>
    </row>
    <row r="884">
      <c r="A884" s="163"/>
    </row>
    <row r="885">
      <c r="A885" s="163"/>
    </row>
    <row r="886">
      <c r="A886" s="163"/>
    </row>
    <row r="887">
      <c r="A887" s="163"/>
    </row>
    <row r="888">
      <c r="A888" s="163"/>
    </row>
    <row r="889">
      <c r="A889" s="163"/>
    </row>
    <row r="890">
      <c r="A890" s="163"/>
    </row>
    <row r="891">
      <c r="A891" s="163"/>
    </row>
    <row r="892">
      <c r="A892" s="163"/>
    </row>
    <row r="893">
      <c r="A893" s="163"/>
    </row>
    <row r="894">
      <c r="A894" s="163"/>
    </row>
    <row r="895">
      <c r="A895" s="163"/>
    </row>
    <row r="896">
      <c r="A896" s="163"/>
    </row>
    <row r="897">
      <c r="A897" s="163"/>
    </row>
    <row r="898">
      <c r="A898" s="163"/>
    </row>
    <row r="899">
      <c r="A899" s="163"/>
    </row>
    <row r="900">
      <c r="A900" s="163"/>
    </row>
    <row r="901">
      <c r="A901" s="163"/>
    </row>
    <row r="902">
      <c r="A902" s="163"/>
    </row>
    <row r="903">
      <c r="A903" s="163"/>
    </row>
    <row r="904">
      <c r="A904" s="163"/>
    </row>
    <row r="905">
      <c r="A905" s="163"/>
    </row>
    <row r="906">
      <c r="A906" s="163"/>
    </row>
    <row r="907">
      <c r="A907" s="163"/>
    </row>
    <row r="908">
      <c r="A908" s="163"/>
    </row>
    <row r="909">
      <c r="A909" s="163"/>
    </row>
    <row r="910">
      <c r="A910" s="163"/>
    </row>
    <row r="911">
      <c r="A911" s="163"/>
    </row>
    <row r="912">
      <c r="A912" s="163"/>
    </row>
    <row r="913">
      <c r="A913" s="163"/>
    </row>
    <row r="914">
      <c r="A914" s="163"/>
    </row>
    <row r="915">
      <c r="A915" s="163"/>
    </row>
    <row r="916">
      <c r="A916" s="163"/>
    </row>
    <row r="917">
      <c r="A917" s="163"/>
    </row>
    <row r="918">
      <c r="A918" s="163"/>
    </row>
    <row r="919">
      <c r="A919" s="163"/>
    </row>
    <row r="920">
      <c r="A920" s="163"/>
    </row>
    <row r="921">
      <c r="A921" s="163"/>
    </row>
    <row r="922">
      <c r="A922" s="163"/>
    </row>
    <row r="923">
      <c r="A923" s="163"/>
    </row>
    <row r="924">
      <c r="A924" s="163"/>
    </row>
    <row r="925">
      <c r="A925" s="163"/>
    </row>
    <row r="926">
      <c r="A926" s="163"/>
    </row>
    <row r="927">
      <c r="A927" s="163"/>
    </row>
    <row r="928">
      <c r="A928" s="163"/>
    </row>
    <row r="929">
      <c r="A929" s="163"/>
    </row>
    <row r="930">
      <c r="A930" s="163"/>
    </row>
    <row r="931">
      <c r="A931" s="163"/>
    </row>
    <row r="932">
      <c r="A932" s="163"/>
    </row>
    <row r="933">
      <c r="A933" s="163"/>
    </row>
    <row r="934">
      <c r="A934" s="163"/>
    </row>
    <row r="935">
      <c r="A935" s="163"/>
    </row>
    <row r="936">
      <c r="A936" s="163"/>
    </row>
    <row r="937">
      <c r="A937" s="163"/>
    </row>
    <row r="938">
      <c r="A938" s="163"/>
    </row>
    <row r="939">
      <c r="A939" s="163"/>
    </row>
    <row r="940">
      <c r="A940" s="163"/>
    </row>
    <row r="941">
      <c r="A941" s="163"/>
    </row>
    <row r="942">
      <c r="A942" s="163"/>
    </row>
    <row r="943">
      <c r="A943" s="163"/>
    </row>
    <row r="944">
      <c r="A944" s="163"/>
    </row>
    <row r="945">
      <c r="A945" s="163"/>
    </row>
    <row r="946">
      <c r="A946" s="163"/>
    </row>
    <row r="947">
      <c r="A947" s="163"/>
    </row>
    <row r="948">
      <c r="A948" s="163"/>
    </row>
    <row r="949">
      <c r="A949" s="163"/>
    </row>
    <row r="950">
      <c r="A950" s="163"/>
    </row>
    <row r="951">
      <c r="A951" s="163"/>
    </row>
    <row r="952">
      <c r="A952" s="163"/>
    </row>
    <row r="953">
      <c r="A953" s="163"/>
    </row>
    <row r="954">
      <c r="A954" s="163"/>
    </row>
    <row r="955">
      <c r="A955" s="163"/>
    </row>
    <row r="956">
      <c r="A956" s="163"/>
    </row>
    <row r="957">
      <c r="A957" s="163"/>
    </row>
    <row r="958">
      <c r="A958" s="163"/>
    </row>
    <row r="959">
      <c r="A959" s="163"/>
    </row>
    <row r="960">
      <c r="A960" s="163"/>
    </row>
    <row r="961">
      <c r="A961" s="163"/>
    </row>
    <row r="962">
      <c r="A962" s="163"/>
    </row>
    <row r="963">
      <c r="A963" s="163"/>
    </row>
    <row r="964">
      <c r="A964" s="163"/>
    </row>
    <row r="965">
      <c r="A965" s="163"/>
    </row>
    <row r="966">
      <c r="A966" s="163"/>
    </row>
    <row r="967">
      <c r="A967" s="163"/>
    </row>
    <row r="968">
      <c r="A968" s="163"/>
    </row>
    <row r="969">
      <c r="A969" s="163"/>
    </row>
    <row r="970">
      <c r="A970" s="163"/>
    </row>
    <row r="971">
      <c r="A971" s="163"/>
    </row>
    <row r="972">
      <c r="A972" s="163"/>
    </row>
    <row r="973">
      <c r="A973" s="163"/>
    </row>
    <row r="974">
      <c r="A974" s="163"/>
    </row>
    <row r="975">
      <c r="A975" s="163"/>
    </row>
    <row r="976">
      <c r="A976" s="163"/>
    </row>
    <row r="977">
      <c r="A977" s="163"/>
    </row>
    <row r="978">
      <c r="A978" s="163"/>
    </row>
    <row r="979">
      <c r="A979" s="163"/>
    </row>
    <row r="980">
      <c r="A980" s="163"/>
    </row>
    <row r="981">
      <c r="A981" s="163"/>
    </row>
    <row r="982">
      <c r="A982" s="163"/>
    </row>
    <row r="983">
      <c r="A983" s="163"/>
    </row>
    <row r="984">
      <c r="A984" s="163"/>
    </row>
    <row r="985">
      <c r="A985" s="163"/>
    </row>
    <row r="986">
      <c r="A986" s="163"/>
    </row>
    <row r="987">
      <c r="A987" s="163"/>
    </row>
    <row r="988">
      <c r="A988" s="163"/>
    </row>
    <row r="989">
      <c r="A989" s="163"/>
    </row>
    <row r="990">
      <c r="A990" s="163"/>
    </row>
    <row r="991">
      <c r="A991" s="163"/>
    </row>
    <row r="992">
      <c r="A992" s="163"/>
    </row>
    <row r="993">
      <c r="A993" s="163"/>
    </row>
    <row r="994">
      <c r="A994" s="163"/>
    </row>
    <row r="995">
      <c r="A995" s="163"/>
    </row>
    <row r="996">
      <c r="A996" s="163"/>
    </row>
    <row r="997">
      <c r="A997" s="163"/>
    </row>
    <row r="998">
      <c r="A998" s="163"/>
    </row>
    <row r="999">
      <c r="A999" s="163"/>
    </row>
    <row r="1000">
      <c r="A1000" s="163"/>
    </row>
    <row r="1001">
      <c r="A1001" s="163"/>
    </row>
  </sheetData>
  <mergeCells count="4">
    <mergeCell ref="A1:AC1"/>
    <mergeCell ref="A19:AC19"/>
    <mergeCell ref="B47:AD47"/>
    <mergeCell ref="B58:AD58"/>
  </mergeCell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.71"/>
    <col customWidth="1" min="3" max="3" width="24.71"/>
    <col customWidth="1" min="4" max="4" width="10.0"/>
    <col customWidth="1" min="5" max="5" width="17.14"/>
    <col customWidth="1" min="6" max="6" width="19.86"/>
    <col customWidth="1" min="9" max="9" width="28.86"/>
    <col customWidth="1" min="10" max="10" width="18.43"/>
  </cols>
  <sheetData>
    <row r="4">
      <c r="B4" s="124" t="s">
        <v>485</v>
      </c>
      <c r="C4" s="125"/>
      <c r="D4" s="125"/>
      <c r="E4" s="125"/>
      <c r="F4" s="125"/>
      <c r="G4" s="126"/>
    </row>
    <row r="5">
      <c r="B5" s="127" t="s">
        <v>5</v>
      </c>
      <c r="C5" s="132" t="s">
        <v>486</v>
      </c>
      <c r="D5" s="132" t="s">
        <v>6</v>
      </c>
      <c r="E5" s="132" t="s">
        <v>26</v>
      </c>
      <c r="F5" s="132" t="s">
        <v>21</v>
      </c>
      <c r="G5" s="170"/>
      <c r="I5" s="171" t="s">
        <v>487</v>
      </c>
      <c r="J5" s="171" t="s">
        <v>488</v>
      </c>
      <c r="K5" s="135"/>
      <c r="L5" s="135" t="s">
        <v>15</v>
      </c>
    </row>
    <row r="6">
      <c r="B6" s="135">
        <v>1.0</v>
      </c>
      <c r="C6" s="136" t="s">
        <v>489</v>
      </c>
      <c r="D6" s="63">
        <v>5.0</v>
      </c>
      <c r="E6" s="139">
        <v>3000.0</v>
      </c>
      <c r="F6" s="63" t="s">
        <v>304</v>
      </c>
      <c r="G6" s="60"/>
      <c r="I6" s="174">
        <v>10.0</v>
      </c>
      <c r="J6" s="174" t="s">
        <v>492</v>
      </c>
      <c r="K6" s="177">
        <v>23000.0</v>
      </c>
      <c r="L6" s="174">
        <v>3000.0</v>
      </c>
    </row>
    <row r="7">
      <c r="B7" s="135">
        <v>2.0</v>
      </c>
      <c r="C7" s="140" t="s">
        <v>35</v>
      </c>
      <c r="D7" s="15">
        <v>1.0</v>
      </c>
      <c r="E7" s="19">
        <v>3000.0</v>
      </c>
      <c r="F7" s="15" t="s">
        <v>304</v>
      </c>
      <c r="G7" s="5"/>
      <c r="I7" s="116">
        <v>15.0</v>
      </c>
      <c r="J7" s="174" t="s">
        <v>492</v>
      </c>
      <c r="K7" s="177">
        <v>34500.0</v>
      </c>
      <c r="L7" s="174">
        <v>3000.0</v>
      </c>
    </row>
    <row r="8">
      <c r="B8" s="180">
        <v>3.0</v>
      </c>
      <c r="C8" s="15" t="s">
        <v>502</v>
      </c>
      <c r="D8" s="15">
        <v>1.0</v>
      </c>
      <c r="E8" s="19">
        <v>3000.0</v>
      </c>
      <c r="F8" s="15" t="s">
        <v>503</v>
      </c>
      <c r="G8" s="5"/>
      <c r="I8" s="116">
        <v>10.0</v>
      </c>
      <c r="J8" s="116" t="s">
        <v>504</v>
      </c>
      <c r="K8" s="119">
        <v>26000.0</v>
      </c>
      <c r="L8" s="5"/>
    </row>
    <row r="9">
      <c r="A9" s="182">
        <v>44622.0</v>
      </c>
      <c r="B9" s="135">
        <v>4.0</v>
      </c>
      <c r="C9" s="140" t="s">
        <v>510</v>
      </c>
      <c r="D9" s="15">
        <v>2.0</v>
      </c>
      <c r="E9" s="19">
        <v>6000.0</v>
      </c>
      <c r="F9" s="15" t="s">
        <v>304</v>
      </c>
      <c r="G9" s="5"/>
    </row>
    <row r="10">
      <c r="B10" s="135">
        <v>5.0</v>
      </c>
      <c r="C10" s="140" t="s">
        <v>514</v>
      </c>
      <c r="D10" s="15">
        <v>1.0</v>
      </c>
      <c r="E10" s="19">
        <v>3000.0</v>
      </c>
      <c r="F10" s="15" t="s">
        <v>515</v>
      </c>
      <c r="G10" s="5"/>
    </row>
    <row r="11">
      <c r="B11" s="135">
        <v>6.0</v>
      </c>
      <c r="C11" s="140" t="s">
        <v>516</v>
      </c>
      <c r="D11" s="15">
        <v>1.0</v>
      </c>
      <c r="E11" s="19">
        <v>3000.0</v>
      </c>
      <c r="F11" s="15" t="s">
        <v>517</v>
      </c>
      <c r="G11" s="5"/>
    </row>
    <row r="12">
      <c r="B12" s="135">
        <v>7.0</v>
      </c>
      <c r="C12" s="140" t="s">
        <v>519</v>
      </c>
      <c r="D12" s="15">
        <v>1.0</v>
      </c>
      <c r="E12" s="19">
        <v>3000.0</v>
      </c>
      <c r="F12" s="15" t="s">
        <v>304</v>
      </c>
      <c r="G12" s="5"/>
    </row>
    <row r="13">
      <c r="B13" s="135">
        <v>8.0</v>
      </c>
      <c r="C13" s="140" t="s">
        <v>35</v>
      </c>
      <c r="D13" s="15">
        <v>1.0</v>
      </c>
      <c r="E13" s="19">
        <v>3000.0</v>
      </c>
      <c r="F13" s="15" t="s">
        <v>304</v>
      </c>
      <c r="G13" s="5"/>
    </row>
    <row r="14">
      <c r="A14" s="184">
        <v>45085.0</v>
      </c>
      <c r="B14" s="135">
        <v>9.0</v>
      </c>
      <c r="C14" s="140" t="s">
        <v>259</v>
      </c>
      <c r="D14" s="15">
        <v>2.0</v>
      </c>
      <c r="E14" s="19">
        <v>6000.0</v>
      </c>
      <c r="F14" s="15" t="s">
        <v>517</v>
      </c>
      <c r="G14" s="5"/>
    </row>
    <row r="15">
      <c r="B15" s="135">
        <v>10.0</v>
      </c>
      <c r="C15" s="140" t="s">
        <v>526</v>
      </c>
      <c r="D15" s="15">
        <v>1.0</v>
      </c>
      <c r="E15" s="19">
        <v>3000.0</v>
      </c>
      <c r="F15" s="15"/>
      <c r="G15" s="5"/>
    </row>
    <row r="16">
      <c r="A16" s="185"/>
      <c r="B16" s="135">
        <v>11.0</v>
      </c>
      <c r="C16" s="140"/>
      <c r="D16" s="15"/>
      <c r="E16" s="19"/>
      <c r="F16" s="15"/>
      <c r="G16" s="5"/>
    </row>
    <row r="17">
      <c r="E17" s="33"/>
    </row>
    <row r="18">
      <c r="E18" s="33"/>
    </row>
    <row r="19">
      <c r="E19" s="33"/>
    </row>
    <row r="20">
      <c r="C20" s="188" t="s">
        <v>530</v>
      </c>
      <c r="D20" s="188">
        <v>9.0</v>
      </c>
      <c r="E20" s="190">
        <v>45281.0</v>
      </c>
    </row>
    <row r="21">
      <c r="E21" s="33"/>
    </row>
    <row r="22">
      <c r="A22" s="185">
        <v>45297.0</v>
      </c>
      <c r="B22" s="15">
        <v>11.0</v>
      </c>
      <c r="C22" s="15" t="s">
        <v>544</v>
      </c>
      <c r="D22" s="15">
        <v>1.0</v>
      </c>
      <c r="E22" s="19">
        <v>3000.0</v>
      </c>
      <c r="F22" s="15" t="s">
        <v>545</v>
      </c>
      <c r="G22" s="5"/>
    </row>
    <row r="23">
      <c r="A23" s="191">
        <v>45353.0</v>
      </c>
      <c r="B23" s="15">
        <v>2.0</v>
      </c>
      <c r="C23" s="15" t="s">
        <v>549</v>
      </c>
      <c r="D23" s="15">
        <v>1.0</v>
      </c>
      <c r="E23" s="19">
        <v>3300.0</v>
      </c>
      <c r="F23" s="5"/>
      <c r="G23" s="5"/>
    </row>
    <row r="24">
      <c r="B24" s="15">
        <v>3.0</v>
      </c>
      <c r="C24" s="5"/>
      <c r="D24" s="5"/>
      <c r="E24" s="24"/>
      <c r="F24" s="5"/>
      <c r="G24" s="5"/>
    </row>
    <row r="25">
      <c r="B25" s="15">
        <v>4.0</v>
      </c>
      <c r="C25" s="5"/>
      <c r="D25" s="5"/>
      <c r="E25" s="24"/>
      <c r="F25" s="5"/>
      <c r="G25" s="5"/>
    </row>
    <row r="26">
      <c r="B26" s="15">
        <v>5.0</v>
      </c>
      <c r="C26" s="5"/>
      <c r="D26" s="5"/>
      <c r="E26" s="24"/>
      <c r="F26" s="5"/>
      <c r="G26" s="5"/>
    </row>
    <row r="27">
      <c r="B27" s="15">
        <v>6.0</v>
      </c>
      <c r="C27" s="5"/>
      <c r="D27" s="5"/>
      <c r="E27" s="24"/>
      <c r="F27" s="5"/>
      <c r="G27" s="5"/>
    </row>
    <row r="28">
      <c r="B28" s="15">
        <v>7.0</v>
      </c>
      <c r="C28" s="5"/>
      <c r="D28" s="5"/>
      <c r="E28" s="24"/>
      <c r="F28" s="5"/>
      <c r="G28" s="5"/>
    </row>
    <row r="29">
      <c r="B29" s="15">
        <v>8.0</v>
      </c>
      <c r="C29" s="5"/>
      <c r="D29" s="5"/>
      <c r="E29" s="24"/>
      <c r="F29" s="5"/>
      <c r="G29" s="5"/>
    </row>
    <row r="30">
      <c r="B30" s="15">
        <v>9.0</v>
      </c>
      <c r="C30" s="5"/>
      <c r="D30" s="5"/>
      <c r="E30" s="24"/>
      <c r="F30" s="5"/>
      <c r="G30" s="5"/>
    </row>
    <row r="31">
      <c r="B31" s="15">
        <v>10.0</v>
      </c>
      <c r="C31" s="5"/>
      <c r="D31" s="5"/>
      <c r="E31" s="24"/>
      <c r="F31" s="5"/>
      <c r="G31" s="5"/>
    </row>
    <row r="32">
      <c r="B32" s="15">
        <v>11.0</v>
      </c>
      <c r="C32" s="5"/>
      <c r="D32" s="5"/>
      <c r="E32" s="24"/>
      <c r="F32" s="5"/>
      <c r="G32" s="5"/>
    </row>
  </sheetData>
  <mergeCells count="1">
    <mergeCell ref="B4:G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2.86"/>
  </cols>
  <sheetData>
    <row r="1">
      <c r="A1" s="3" t="s">
        <v>176</v>
      </c>
      <c r="B1" s="4"/>
      <c r="C1" s="4"/>
      <c r="D1" s="4"/>
      <c r="E1" s="4"/>
      <c r="F1" s="4"/>
      <c r="G1" s="4"/>
      <c r="H1" s="4"/>
      <c r="I1" s="4"/>
      <c r="J1" s="8"/>
      <c r="K1" s="5"/>
      <c r="L1" s="5"/>
      <c r="M1" s="5"/>
      <c r="N1" s="5"/>
    </row>
    <row r="2">
      <c r="A2" s="9" t="s">
        <v>5</v>
      </c>
      <c r="B2" s="12"/>
      <c r="C2" s="16" t="s">
        <v>6</v>
      </c>
      <c r="D2" s="9"/>
      <c r="E2" s="9" t="s">
        <v>17</v>
      </c>
      <c r="F2" s="9" t="s">
        <v>19</v>
      </c>
      <c r="G2" s="16" t="s">
        <v>20</v>
      </c>
      <c r="H2" s="16" t="s">
        <v>21</v>
      </c>
      <c r="I2" s="16" t="s">
        <v>22</v>
      </c>
      <c r="J2" s="16" t="s">
        <v>21</v>
      </c>
      <c r="K2" s="16" t="s">
        <v>23</v>
      </c>
      <c r="L2" s="16" t="s">
        <v>21</v>
      </c>
      <c r="M2" s="16" t="s">
        <v>24</v>
      </c>
      <c r="N2" s="16" t="s">
        <v>21</v>
      </c>
    </row>
    <row r="3">
      <c r="A3" s="5"/>
      <c r="B3" s="15" t="s">
        <v>570</v>
      </c>
      <c r="C3" s="200" t="s">
        <v>571</v>
      </c>
      <c r="D3" s="5"/>
      <c r="E3" s="15"/>
      <c r="F3" s="19">
        <v>1200.0</v>
      </c>
      <c r="G3" s="15" t="s">
        <v>573</v>
      </c>
      <c r="H3" s="15" t="s">
        <v>574</v>
      </c>
      <c r="I3" s="15" t="s">
        <v>575</v>
      </c>
      <c r="J3" s="15" t="s">
        <v>576</v>
      </c>
      <c r="K3" s="5"/>
      <c r="L3" s="5"/>
      <c r="M3" s="5"/>
      <c r="N3" s="5"/>
    </row>
    <row r="4">
      <c r="A4" s="5"/>
      <c r="B4" s="15" t="s">
        <v>577</v>
      </c>
      <c r="C4" s="200" t="s">
        <v>578</v>
      </c>
      <c r="D4" s="5"/>
      <c r="E4" s="15"/>
      <c r="F4" s="19">
        <v>1100.0</v>
      </c>
      <c r="G4" s="15" t="s">
        <v>579</v>
      </c>
      <c r="H4" s="15" t="s">
        <v>196</v>
      </c>
      <c r="I4" s="15" t="s">
        <v>389</v>
      </c>
      <c r="J4" s="15" t="s">
        <v>574</v>
      </c>
      <c r="K4" s="15" t="s">
        <v>207</v>
      </c>
      <c r="L4" s="15" t="s">
        <v>80</v>
      </c>
      <c r="M4" s="15" t="s">
        <v>575</v>
      </c>
      <c r="N4" s="15" t="s">
        <v>576</v>
      </c>
    </row>
    <row r="5">
      <c r="A5" s="5"/>
      <c r="B5" s="144"/>
      <c r="C5" s="144"/>
      <c r="D5" s="144"/>
      <c r="E5" s="144"/>
      <c r="F5" s="144"/>
      <c r="G5" s="144"/>
      <c r="H5" s="144"/>
      <c r="I5" s="144"/>
      <c r="J5" s="144"/>
      <c r="K5" s="5"/>
      <c r="L5" s="5"/>
      <c r="M5" s="5"/>
      <c r="N5" s="5"/>
    </row>
    <row r="6">
      <c r="A6" s="5"/>
      <c r="B6" s="202"/>
      <c r="C6" s="202"/>
      <c r="D6" s="202"/>
      <c r="E6" s="202"/>
      <c r="F6" s="202"/>
      <c r="G6" s="202"/>
      <c r="H6" s="202"/>
      <c r="I6" s="202"/>
      <c r="J6" s="202"/>
      <c r="K6" s="5"/>
      <c r="L6" s="5"/>
      <c r="M6" s="5"/>
      <c r="N6" s="5"/>
    </row>
    <row r="7">
      <c r="A7" s="5"/>
      <c r="B7" s="15" t="s">
        <v>570</v>
      </c>
      <c r="C7" s="200" t="s">
        <v>580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5"/>
      <c r="B8" s="15" t="s">
        <v>577</v>
      </c>
      <c r="C8" s="200" t="s">
        <v>580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</sheetData>
  <mergeCells count="1">
    <mergeCell ref="A1:J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7.14"/>
    <col customWidth="1" min="3" max="3" width="6.43"/>
    <col customWidth="1" min="4" max="4" width="17.57"/>
    <col customWidth="1" min="8" max="8" width="17.86"/>
    <col customWidth="1" min="9" max="9" width="18.14"/>
  </cols>
  <sheetData>
    <row r="2">
      <c r="A2" s="38"/>
      <c r="B2" s="38"/>
      <c r="C2" s="203"/>
      <c r="D2" s="38"/>
      <c r="E2" s="38"/>
      <c r="F2" s="38"/>
      <c r="G2" s="38"/>
      <c r="H2" s="38"/>
    </row>
    <row r="3">
      <c r="A3" s="38"/>
      <c r="B3" s="38"/>
      <c r="C3" s="15" t="s">
        <v>581</v>
      </c>
      <c r="D3" s="15" t="s">
        <v>312</v>
      </c>
      <c r="E3" s="15" t="s">
        <v>16</v>
      </c>
      <c r="F3" s="15" t="s">
        <v>582</v>
      </c>
      <c r="G3" s="15" t="s">
        <v>498</v>
      </c>
      <c r="H3" s="15" t="s">
        <v>583</v>
      </c>
      <c r="I3" s="15" t="s">
        <v>584</v>
      </c>
      <c r="J3" s="15" t="s">
        <v>349</v>
      </c>
    </row>
    <row r="4">
      <c r="B4" s="204">
        <v>45282.0</v>
      </c>
      <c r="C4" s="15">
        <v>1.0</v>
      </c>
      <c r="D4" s="15" t="s">
        <v>585</v>
      </c>
      <c r="E4" s="15">
        <v>4.0</v>
      </c>
      <c r="F4" s="19">
        <v>2500.0</v>
      </c>
      <c r="G4" s="19">
        <v>2875.0</v>
      </c>
      <c r="H4" s="5"/>
      <c r="I4" s="5"/>
      <c r="J4" s="5"/>
    </row>
    <row r="5">
      <c r="C5" s="15">
        <v>2.0</v>
      </c>
      <c r="D5" s="15" t="s">
        <v>586</v>
      </c>
      <c r="E5" s="15">
        <v>7.0</v>
      </c>
      <c r="F5" s="19">
        <v>1000.0</v>
      </c>
      <c r="G5" s="19">
        <v>1150.0</v>
      </c>
      <c r="H5" s="15" t="s">
        <v>587</v>
      </c>
      <c r="I5" s="5"/>
      <c r="J5" s="15" t="s">
        <v>588</v>
      </c>
    </row>
    <row r="6">
      <c r="C6" s="15">
        <v>3.0</v>
      </c>
      <c r="D6" s="15" t="s">
        <v>589</v>
      </c>
      <c r="E6" s="15">
        <v>6.0</v>
      </c>
      <c r="F6" s="19">
        <v>700.0</v>
      </c>
      <c r="G6" s="19">
        <v>805.0</v>
      </c>
      <c r="H6" s="15" t="s">
        <v>590</v>
      </c>
      <c r="I6" s="5"/>
      <c r="J6" s="5"/>
    </row>
    <row r="7">
      <c r="C7" s="15">
        <v>4.0</v>
      </c>
      <c r="D7" s="15" t="s">
        <v>591</v>
      </c>
      <c r="E7" s="15">
        <v>2.0</v>
      </c>
      <c r="F7" s="19">
        <v>2200.0</v>
      </c>
      <c r="G7" s="19">
        <v>2530.0</v>
      </c>
      <c r="H7" s="5"/>
      <c r="I7" s="5"/>
      <c r="J7" s="5"/>
    </row>
    <row r="8">
      <c r="C8" s="15">
        <v>5.0</v>
      </c>
      <c r="D8" s="15" t="s">
        <v>592</v>
      </c>
      <c r="E8" s="15" t="s">
        <v>593</v>
      </c>
      <c r="F8" s="19">
        <v>1500.0</v>
      </c>
      <c r="G8" s="19">
        <v>1725.0</v>
      </c>
      <c r="H8" s="15" t="s">
        <v>594</v>
      </c>
      <c r="I8" s="15" t="s">
        <v>595</v>
      </c>
      <c r="J8" s="5"/>
    </row>
    <row r="9">
      <c r="C9" s="15">
        <v>6.0</v>
      </c>
      <c r="D9" s="15" t="s">
        <v>596</v>
      </c>
      <c r="E9" s="15">
        <v>4.0</v>
      </c>
      <c r="F9" s="24"/>
      <c r="G9" s="5"/>
      <c r="H9" s="5"/>
      <c r="I9" s="5"/>
      <c r="J9" s="5"/>
    </row>
    <row r="10">
      <c r="C10" s="15">
        <v>7.0</v>
      </c>
      <c r="D10" s="15" t="s">
        <v>597</v>
      </c>
      <c r="E10" s="15">
        <v>2.0</v>
      </c>
      <c r="F10" s="5"/>
      <c r="G10" s="5"/>
      <c r="H10" s="5"/>
      <c r="I10" s="5"/>
      <c r="J10" s="5"/>
    </row>
    <row r="11">
      <c r="C11" s="15">
        <v>8.0</v>
      </c>
      <c r="D11" s="5"/>
      <c r="E11" s="5"/>
      <c r="F11" s="5"/>
      <c r="G11" s="5"/>
      <c r="H11" s="5"/>
      <c r="I11" s="5"/>
      <c r="J11" s="5"/>
    </row>
    <row r="12">
      <c r="C12" s="15">
        <v>9.0</v>
      </c>
      <c r="D12" s="5"/>
      <c r="E12" s="5"/>
      <c r="F12" s="5"/>
      <c r="G12" s="5"/>
      <c r="H12" s="5"/>
      <c r="I12" s="5"/>
      <c r="J12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57"/>
    <col customWidth="1" min="3" max="3" width="18.29"/>
    <col customWidth="1" min="4" max="4" width="25.43"/>
    <col customWidth="1" min="5" max="5" width="6.71"/>
    <col customWidth="1" min="7" max="7" width="17.29"/>
    <col customWidth="1" min="10" max="10" width="23.14"/>
    <col customWidth="1" min="11" max="11" width="17.57"/>
  </cols>
  <sheetData>
    <row r="4">
      <c r="B4" s="205" t="s">
        <v>5</v>
      </c>
      <c r="C4" s="132" t="s">
        <v>486</v>
      </c>
      <c r="D4" s="132" t="s">
        <v>598</v>
      </c>
      <c r="E4" s="132" t="s">
        <v>6</v>
      </c>
      <c r="F4" s="132" t="s">
        <v>26</v>
      </c>
      <c r="G4" s="132" t="s">
        <v>21</v>
      </c>
      <c r="H4" s="170"/>
    </row>
    <row r="5">
      <c r="B5" s="116">
        <v>1.0</v>
      </c>
      <c r="C5" s="136" t="s">
        <v>600</v>
      </c>
      <c r="D5" s="136" t="s">
        <v>601</v>
      </c>
      <c r="E5" s="174">
        <v>1.0</v>
      </c>
      <c r="F5" s="139">
        <v>200.0</v>
      </c>
      <c r="G5" s="139" t="s">
        <v>603</v>
      </c>
      <c r="H5" s="207"/>
      <c r="I5" s="33"/>
      <c r="J5" s="209" t="s">
        <v>604</v>
      </c>
      <c r="K5" s="209" t="s">
        <v>488</v>
      </c>
      <c r="L5" s="210" t="s">
        <v>15</v>
      </c>
      <c r="M5" s="33"/>
    </row>
    <row r="6">
      <c r="B6" s="116">
        <v>2.0</v>
      </c>
      <c r="C6" s="140" t="s">
        <v>611</v>
      </c>
      <c r="D6" s="140" t="s">
        <v>612</v>
      </c>
      <c r="E6" s="116">
        <v>2.0</v>
      </c>
      <c r="F6" s="19">
        <v>380.0</v>
      </c>
      <c r="G6" s="19" t="s">
        <v>603</v>
      </c>
      <c r="H6" s="24"/>
      <c r="I6" s="33"/>
      <c r="J6" s="177" t="s">
        <v>613</v>
      </c>
      <c r="K6" s="177">
        <v>135.0</v>
      </c>
      <c r="L6" s="177">
        <v>180.0</v>
      </c>
      <c r="M6" s="33"/>
    </row>
    <row r="7">
      <c r="B7" s="116">
        <v>3.0</v>
      </c>
      <c r="C7" s="140" t="s">
        <v>502</v>
      </c>
      <c r="D7" s="140" t="s">
        <v>614</v>
      </c>
      <c r="E7" s="116">
        <v>1.0</v>
      </c>
      <c r="F7" s="19">
        <v>180.0</v>
      </c>
      <c r="G7" s="24"/>
      <c r="H7" s="24"/>
      <c r="I7" s="33"/>
      <c r="J7" s="119" t="s">
        <v>615</v>
      </c>
      <c r="K7" s="119">
        <v>130.0</v>
      </c>
      <c r="L7" s="119">
        <v>170.0</v>
      </c>
      <c r="M7" s="33"/>
    </row>
    <row r="8">
      <c r="B8" s="116">
        <v>4.0</v>
      </c>
      <c r="C8" s="140" t="s">
        <v>616</v>
      </c>
      <c r="D8" s="140" t="s">
        <v>617</v>
      </c>
      <c r="E8" s="116">
        <v>1.0</v>
      </c>
      <c r="F8" s="19">
        <v>170.0</v>
      </c>
      <c r="G8" s="24"/>
      <c r="H8" s="24"/>
      <c r="I8" s="33"/>
      <c r="J8" s="211" t="s">
        <v>618</v>
      </c>
      <c r="K8" s="119">
        <v>150.0</v>
      </c>
      <c r="L8" s="119">
        <v>200.0</v>
      </c>
      <c r="M8" s="33"/>
    </row>
    <row r="9">
      <c r="B9" s="116">
        <v>6.0</v>
      </c>
      <c r="C9" s="140" t="s">
        <v>619</v>
      </c>
      <c r="D9" s="140" t="s">
        <v>617</v>
      </c>
      <c r="E9" s="116">
        <v>1.0</v>
      </c>
      <c r="F9" s="19">
        <v>170.0</v>
      </c>
      <c r="G9" s="24"/>
      <c r="H9" s="24"/>
      <c r="I9" s="33"/>
      <c r="J9" s="210" t="s">
        <v>621</v>
      </c>
      <c r="K9" s="33"/>
      <c r="L9" s="33"/>
      <c r="M9" s="33"/>
    </row>
    <row r="10">
      <c r="B10" s="116">
        <v>7.0</v>
      </c>
      <c r="C10" s="140" t="s">
        <v>622</v>
      </c>
      <c r="D10" s="140" t="s">
        <v>623</v>
      </c>
      <c r="E10" s="118"/>
      <c r="F10" s="24"/>
      <c r="G10" s="24"/>
      <c r="H10" s="24"/>
      <c r="I10" s="33"/>
      <c r="J10" s="33"/>
      <c r="K10" s="33"/>
      <c r="L10" s="33"/>
      <c r="M10" s="33"/>
    </row>
    <row r="11">
      <c r="A11" s="38" t="s">
        <v>624</v>
      </c>
      <c r="B11" s="116">
        <v>8.0</v>
      </c>
      <c r="C11" s="140" t="s">
        <v>625</v>
      </c>
      <c r="D11" s="140" t="s">
        <v>617</v>
      </c>
      <c r="E11" s="116">
        <v>1.0</v>
      </c>
      <c r="F11" s="19">
        <v>170.0</v>
      </c>
      <c r="G11" s="19" t="s">
        <v>626</v>
      </c>
      <c r="H11" s="24"/>
      <c r="I11" s="186" t="s">
        <v>627</v>
      </c>
      <c r="J11" s="209" t="s">
        <v>604</v>
      </c>
      <c r="K11" s="209" t="s">
        <v>488</v>
      </c>
      <c r="L11" s="210" t="s">
        <v>15</v>
      </c>
      <c r="M11" s="33"/>
    </row>
    <row r="12">
      <c r="B12" s="116">
        <v>9.0</v>
      </c>
      <c r="C12" s="51"/>
      <c r="D12" s="51"/>
      <c r="E12" s="118"/>
      <c r="F12" s="24"/>
      <c r="G12" s="24"/>
      <c r="H12" s="24"/>
      <c r="I12" s="33"/>
      <c r="J12" s="177" t="s">
        <v>613</v>
      </c>
      <c r="K12" s="177">
        <v>135.0</v>
      </c>
      <c r="L12" s="177">
        <v>180.0</v>
      </c>
      <c r="M12" s="186">
        <v>675.0</v>
      </c>
    </row>
    <row r="13">
      <c r="B13" s="116">
        <v>10.0</v>
      </c>
      <c r="C13" s="51"/>
      <c r="D13" s="51"/>
      <c r="E13" s="118"/>
      <c r="F13" s="24"/>
      <c r="G13" s="24"/>
      <c r="H13" s="24"/>
      <c r="I13" s="33"/>
      <c r="J13" s="119" t="s">
        <v>615</v>
      </c>
      <c r="K13" s="119">
        <v>130.0</v>
      </c>
      <c r="L13" s="119">
        <v>170.0</v>
      </c>
      <c r="M13" s="186">
        <v>650.0</v>
      </c>
    </row>
    <row r="14">
      <c r="B14" s="118"/>
      <c r="C14" s="51"/>
      <c r="D14" s="51"/>
      <c r="E14" s="118"/>
      <c r="F14" s="24"/>
      <c r="G14" s="24"/>
      <c r="H14" s="24"/>
      <c r="I14" s="33"/>
      <c r="J14" s="211" t="s">
        <v>618</v>
      </c>
      <c r="K14" s="119">
        <v>150.0</v>
      </c>
      <c r="L14" s="119">
        <v>200.0</v>
      </c>
      <c r="M14" s="186">
        <v>750.0</v>
      </c>
    </row>
    <row r="15">
      <c r="F15" s="33"/>
      <c r="G15" s="33"/>
      <c r="H15" s="33"/>
      <c r="I15" s="33"/>
      <c r="J15" s="210" t="s">
        <v>621</v>
      </c>
      <c r="K15" s="33"/>
      <c r="L15" s="33"/>
      <c r="M15" s="33">
        <f>SUM(M12:M14)</f>
        <v>2075</v>
      </c>
    </row>
    <row r="16">
      <c r="F16" s="33"/>
      <c r="G16" s="33"/>
      <c r="H16" s="33"/>
      <c r="I16" s="186">
        <v>45140.0</v>
      </c>
      <c r="J16" s="209" t="s">
        <v>604</v>
      </c>
      <c r="K16" s="209" t="s">
        <v>488</v>
      </c>
      <c r="L16" s="33"/>
      <c r="M16" s="33"/>
    </row>
    <row r="17">
      <c r="F17" s="33"/>
      <c r="G17" s="33"/>
      <c r="H17" s="33"/>
      <c r="I17" s="33"/>
      <c r="J17" s="177" t="s">
        <v>628</v>
      </c>
      <c r="K17" s="177">
        <v>135.0</v>
      </c>
      <c r="L17" s="33"/>
      <c r="M17" s="33"/>
    </row>
    <row r="18">
      <c r="F18" s="33"/>
      <c r="G18" s="33"/>
      <c r="H18" s="33"/>
      <c r="I18" s="33"/>
      <c r="J18" s="211" t="s">
        <v>618</v>
      </c>
      <c r="K18" s="119">
        <v>150.0</v>
      </c>
      <c r="L18" s="33"/>
      <c r="M18" s="33"/>
    </row>
    <row r="19">
      <c r="F19" s="33"/>
      <c r="G19" s="33"/>
      <c r="H19" s="33"/>
      <c r="I19" s="33"/>
      <c r="J19" s="33"/>
      <c r="K19" s="33"/>
      <c r="L19" s="33"/>
      <c r="M19" s="33"/>
    </row>
    <row r="20">
      <c r="F20" s="33"/>
      <c r="G20" s="33"/>
      <c r="H20" s="33"/>
      <c r="I20" s="186">
        <v>45174.0</v>
      </c>
      <c r="J20" s="19" t="s">
        <v>629</v>
      </c>
      <c r="K20" s="19">
        <v>140.0</v>
      </c>
      <c r="L20" s="19">
        <v>200.0</v>
      </c>
      <c r="M20" s="33"/>
    </row>
    <row r="21">
      <c r="F21" s="33"/>
      <c r="G21" s="33"/>
      <c r="H21" s="33"/>
      <c r="I21" s="33"/>
      <c r="J21" s="19" t="s">
        <v>630</v>
      </c>
      <c r="K21" s="19">
        <v>160.0</v>
      </c>
      <c r="L21" s="19">
        <v>210.0</v>
      </c>
      <c r="M21" s="186" t="s">
        <v>631</v>
      </c>
    </row>
    <row r="22">
      <c r="F22" s="33"/>
      <c r="G22" s="33"/>
      <c r="H22" s="33"/>
      <c r="I22" s="33"/>
      <c r="J22" s="33"/>
      <c r="K22" s="33"/>
      <c r="L22" s="33"/>
      <c r="M22" s="33"/>
    </row>
    <row r="23">
      <c r="F23" s="33"/>
      <c r="G23" s="33"/>
      <c r="H23" s="33"/>
      <c r="I23" s="33"/>
      <c r="J23" s="33"/>
      <c r="K23" s="33"/>
      <c r="L23" s="33"/>
      <c r="M23" s="33"/>
    </row>
    <row r="24">
      <c r="F24" s="33"/>
      <c r="G24" s="33"/>
      <c r="H24" s="33"/>
      <c r="I24" s="33"/>
      <c r="J24" s="33"/>
      <c r="K24" s="33"/>
      <c r="L24" s="33"/>
      <c r="M24" s="33"/>
    </row>
    <row r="25">
      <c r="F25" s="33"/>
      <c r="G25" s="33"/>
      <c r="H25" s="33"/>
      <c r="I25" s="33"/>
      <c r="J25" s="33"/>
      <c r="K25" s="33"/>
      <c r="L25" s="33"/>
      <c r="M25" s="3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86"/>
    <col customWidth="1" min="7" max="7" width="18.43"/>
    <col customWidth="1" min="10" max="10" width="28.86"/>
    <col customWidth="1" min="11" max="12" width="18.57"/>
  </cols>
  <sheetData>
    <row r="4">
      <c r="B4" s="127" t="s">
        <v>5</v>
      </c>
      <c r="C4" s="132" t="s">
        <v>486</v>
      </c>
      <c r="D4" s="132" t="s">
        <v>598</v>
      </c>
      <c r="E4" s="132" t="s">
        <v>6</v>
      </c>
      <c r="F4" s="132" t="s">
        <v>26</v>
      </c>
      <c r="G4" s="132" t="s">
        <v>21</v>
      </c>
      <c r="H4" s="170"/>
      <c r="J4" s="135" t="s">
        <v>487</v>
      </c>
      <c r="K4" s="135" t="s">
        <v>599</v>
      </c>
      <c r="L4" s="135" t="s">
        <v>488</v>
      </c>
      <c r="M4" s="135" t="s">
        <v>15</v>
      </c>
    </row>
    <row r="5">
      <c r="B5" s="135">
        <v>1.0</v>
      </c>
      <c r="C5" s="136" t="s">
        <v>602</v>
      </c>
      <c r="D5" s="206"/>
      <c r="E5" s="63">
        <v>1.0</v>
      </c>
      <c r="F5" s="60"/>
      <c r="G5" s="60"/>
      <c r="H5" s="60"/>
      <c r="J5" s="208">
        <v>6.0</v>
      </c>
      <c r="K5" s="208" t="s">
        <v>605</v>
      </c>
      <c r="L5" s="208"/>
      <c r="M5" s="208"/>
    </row>
    <row r="6">
      <c r="B6" s="135">
        <v>2.0</v>
      </c>
      <c r="C6" s="140" t="s">
        <v>606</v>
      </c>
      <c r="D6" s="140" t="s">
        <v>607</v>
      </c>
      <c r="E6" s="15">
        <v>1.0</v>
      </c>
      <c r="F6" s="5"/>
      <c r="G6" s="5"/>
      <c r="H6" s="5"/>
      <c r="J6" s="116">
        <v>6.0</v>
      </c>
      <c r="K6" s="116" t="s">
        <v>608</v>
      </c>
      <c r="L6" s="5"/>
      <c r="M6" s="5"/>
    </row>
    <row r="7">
      <c r="A7" s="184">
        <v>45025.0</v>
      </c>
      <c r="B7" s="135">
        <v>3.0</v>
      </c>
      <c r="C7" s="140" t="s">
        <v>609</v>
      </c>
      <c r="D7" s="51"/>
      <c r="E7" s="15">
        <v>4.0</v>
      </c>
      <c r="F7" s="5"/>
      <c r="G7" s="15" t="s">
        <v>304</v>
      </c>
      <c r="H7" s="5"/>
      <c r="J7" s="116">
        <v>2.0</v>
      </c>
      <c r="K7" s="116" t="s">
        <v>607</v>
      </c>
      <c r="L7" s="5"/>
      <c r="M7" s="5"/>
    </row>
    <row r="8">
      <c r="B8" s="135">
        <v>4.0</v>
      </c>
      <c r="C8" s="51"/>
      <c r="D8" s="51"/>
      <c r="E8" s="5"/>
      <c r="F8" s="5"/>
      <c r="G8" s="5"/>
      <c r="H8" s="5"/>
    </row>
    <row r="9">
      <c r="B9" s="135">
        <v>5.0</v>
      </c>
      <c r="C9" s="51"/>
      <c r="D9" s="51"/>
      <c r="E9" s="5"/>
      <c r="F9" s="5"/>
      <c r="G9" s="5"/>
      <c r="H9" s="5"/>
    </row>
    <row r="10">
      <c r="B10" s="135">
        <v>6.0</v>
      </c>
      <c r="C10" s="51"/>
      <c r="D10" s="51"/>
      <c r="E10" s="5"/>
      <c r="F10" s="5"/>
      <c r="G10" s="5"/>
      <c r="H10" s="5"/>
    </row>
    <row r="11">
      <c r="B11" s="135">
        <v>7.0</v>
      </c>
      <c r="C11" s="51"/>
      <c r="D11" s="51"/>
      <c r="E11" s="5"/>
      <c r="F11" s="5"/>
      <c r="G11" s="5"/>
      <c r="H11" s="5"/>
      <c r="I11" s="38" t="s">
        <v>610</v>
      </c>
      <c r="J11" s="15" t="s">
        <v>487</v>
      </c>
      <c r="K11" s="15" t="s">
        <v>599</v>
      </c>
      <c r="L11" s="15" t="s">
        <v>488</v>
      </c>
      <c r="M11" s="15" t="s">
        <v>15</v>
      </c>
      <c r="N11" s="5"/>
    </row>
    <row r="12">
      <c r="B12" s="135">
        <v>8.0</v>
      </c>
      <c r="C12" s="51"/>
      <c r="D12" s="51"/>
      <c r="E12" s="5"/>
      <c r="F12" s="5"/>
      <c r="G12" s="5"/>
      <c r="H12" s="5"/>
      <c r="J12" s="15">
        <v>9.0</v>
      </c>
      <c r="K12" s="15" t="s">
        <v>605</v>
      </c>
      <c r="L12" s="19">
        <v>250.0</v>
      </c>
      <c r="M12" s="19">
        <v>300.0</v>
      </c>
      <c r="N12" s="24">
        <f t="shared" ref="N12:N14" si="1">J12*L12</f>
        <v>2250</v>
      </c>
      <c r="O12" s="186" t="s">
        <v>620</v>
      </c>
    </row>
    <row r="13">
      <c r="B13" s="135">
        <v>9.0</v>
      </c>
      <c r="C13" s="51"/>
      <c r="D13" s="51"/>
      <c r="E13" s="5"/>
      <c r="F13" s="5"/>
      <c r="G13" s="5"/>
      <c r="H13" s="5"/>
      <c r="J13" s="15">
        <v>9.0</v>
      </c>
      <c r="K13" s="15" t="s">
        <v>608</v>
      </c>
      <c r="L13" s="19">
        <v>250.0</v>
      </c>
      <c r="M13" s="19">
        <v>300.0</v>
      </c>
      <c r="N13" s="24">
        <f t="shared" si="1"/>
        <v>2250</v>
      </c>
      <c r="O13" s="33"/>
    </row>
    <row r="14">
      <c r="B14" s="135">
        <v>10.0</v>
      </c>
      <c r="C14" s="51"/>
      <c r="D14" s="51"/>
      <c r="E14" s="5"/>
      <c r="F14" s="5"/>
      <c r="G14" s="5"/>
      <c r="H14" s="5"/>
      <c r="J14" s="15">
        <v>9.0</v>
      </c>
      <c r="K14" s="15" t="s">
        <v>607</v>
      </c>
      <c r="L14" s="19">
        <v>250.0</v>
      </c>
      <c r="M14" s="19">
        <v>300.0</v>
      </c>
      <c r="N14" s="24">
        <f t="shared" si="1"/>
        <v>2250</v>
      </c>
      <c r="O14" s="33"/>
    </row>
    <row r="15">
      <c r="B15" s="212"/>
      <c r="C15" s="51"/>
      <c r="D15" s="51"/>
      <c r="E15" s="5"/>
      <c r="F15" s="5"/>
      <c r="G15" s="5"/>
      <c r="H15" s="5"/>
      <c r="L15" s="33"/>
      <c r="M15" s="33"/>
      <c r="N15" s="186">
        <v>6750.0</v>
      </c>
      <c r="O15" s="33"/>
    </row>
    <row r="16">
      <c r="L16" s="33"/>
      <c r="M16" s="33"/>
      <c r="N16" s="33"/>
      <c r="O16" s="3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6.86"/>
  </cols>
  <sheetData>
    <row r="2">
      <c r="C2" s="15" t="s">
        <v>632</v>
      </c>
      <c r="D2" s="15" t="s">
        <v>312</v>
      </c>
      <c r="E2" s="15" t="s">
        <v>633</v>
      </c>
      <c r="F2" s="15" t="s">
        <v>16</v>
      </c>
      <c r="G2" s="15" t="s">
        <v>313</v>
      </c>
      <c r="H2" s="15" t="s">
        <v>9</v>
      </c>
    </row>
    <row r="3">
      <c r="C3" s="5"/>
      <c r="D3" s="15" t="s">
        <v>634</v>
      </c>
      <c r="E3" s="15">
        <v>2500.0</v>
      </c>
      <c r="F3" s="15">
        <v>1.0</v>
      </c>
      <c r="G3" s="15" t="s">
        <v>635</v>
      </c>
      <c r="H3" s="5"/>
      <c r="I3" s="38" t="s">
        <v>636</v>
      </c>
    </row>
    <row r="4">
      <c r="C4" s="5"/>
      <c r="D4" s="15" t="s">
        <v>634</v>
      </c>
      <c r="E4" s="15">
        <v>2500.0</v>
      </c>
      <c r="F4" s="15">
        <v>1.0</v>
      </c>
      <c r="G4" s="15" t="s">
        <v>637</v>
      </c>
      <c r="H4" s="15" t="s">
        <v>638</v>
      </c>
    </row>
    <row r="5">
      <c r="C5" s="5"/>
      <c r="D5" s="5"/>
      <c r="E5" s="5"/>
      <c r="F5" s="5"/>
      <c r="G5" s="5"/>
      <c r="H5" s="5"/>
    </row>
    <row r="6">
      <c r="C6" s="5"/>
      <c r="D6" s="5"/>
      <c r="E6" s="5"/>
      <c r="F6" s="5"/>
      <c r="G6" s="5"/>
      <c r="H6" s="5"/>
    </row>
    <row r="7">
      <c r="C7" s="5"/>
      <c r="D7" s="5"/>
      <c r="E7" s="5"/>
      <c r="F7" s="5"/>
      <c r="G7" s="5"/>
      <c r="H7" s="5"/>
    </row>
    <row r="8">
      <c r="C8" s="5"/>
      <c r="D8" s="5"/>
      <c r="E8" s="5"/>
      <c r="F8" s="5"/>
      <c r="G8" s="5"/>
      <c r="H8" s="5"/>
    </row>
    <row r="9">
      <c r="C9" s="5"/>
      <c r="D9" s="5"/>
      <c r="E9" s="5"/>
      <c r="F9" s="5"/>
      <c r="G9" s="5"/>
      <c r="H9" s="5"/>
    </row>
    <row r="10">
      <c r="C10" s="5"/>
      <c r="D10" s="5"/>
      <c r="E10" s="5"/>
      <c r="F10" s="5"/>
      <c r="G10" s="5"/>
      <c r="H10" s="5"/>
    </row>
    <row r="11">
      <c r="C11" s="5"/>
      <c r="D11" s="5"/>
      <c r="E11" s="5"/>
      <c r="F11" s="5"/>
      <c r="G11" s="5"/>
      <c r="H11" s="5"/>
    </row>
    <row r="12">
      <c r="C12" s="5"/>
      <c r="D12" s="5"/>
      <c r="E12" s="5"/>
      <c r="F12" s="5"/>
      <c r="G12" s="5"/>
      <c r="H12" s="5"/>
    </row>
    <row r="13">
      <c r="C13" s="5"/>
      <c r="D13" s="5"/>
      <c r="E13" s="5"/>
      <c r="F13" s="5"/>
      <c r="G13" s="5"/>
      <c r="H13" s="5"/>
    </row>
    <row r="14">
      <c r="C14" s="5"/>
      <c r="D14" s="5"/>
      <c r="E14" s="5"/>
      <c r="F14" s="5"/>
      <c r="G14" s="5"/>
      <c r="H14" s="5"/>
    </row>
    <row r="15">
      <c r="C15" s="5"/>
      <c r="D15" s="5"/>
      <c r="E15" s="5"/>
      <c r="F15" s="5"/>
      <c r="G15" s="5"/>
      <c r="H15" s="5"/>
    </row>
    <row r="16">
      <c r="C16" s="5"/>
      <c r="D16" s="5"/>
      <c r="E16" s="5"/>
      <c r="F16" s="5"/>
      <c r="G16" s="5"/>
      <c r="H16" s="5"/>
    </row>
    <row r="17">
      <c r="C17" s="5"/>
      <c r="D17" s="5"/>
      <c r="E17" s="5"/>
      <c r="F17" s="5"/>
      <c r="G17" s="5"/>
      <c r="H17" s="5"/>
    </row>
    <row r="18">
      <c r="C18" s="5"/>
      <c r="D18" s="5"/>
      <c r="E18" s="5"/>
      <c r="F18" s="5"/>
      <c r="G18" s="5"/>
      <c r="H18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86"/>
    <col customWidth="1" min="3" max="3" width="24.86"/>
    <col customWidth="1" min="8" max="8" width="18.86"/>
  </cols>
  <sheetData>
    <row r="1">
      <c r="A1" s="38" t="s">
        <v>639</v>
      </c>
    </row>
    <row r="2">
      <c r="A2" s="213" t="s">
        <v>640</v>
      </c>
      <c r="B2" s="214"/>
      <c r="C2" s="214"/>
      <c r="D2" s="214"/>
      <c r="E2" s="214"/>
      <c r="F2" s="214"/>
      <c r="G2" s="214"/>
      <c r="H2" s="215"/>
      <c r="I2" s="215"/>
    </row>
    <row r="3">
      <c r="A3" s="216" t="s">
        <v>641</v>
      </c>
      <c r="B3" s="217" t="s">
        <v>10</v>
      </c>
      <c r="C3" s="217" t="s">
        <v>642</v>
      </c>
      <c r="D3" s="218" t="s">
        <v>28</v>
      </c>
      <c r="E3" s="217" t="s">
        <v>643</v>
      </c>
      <c r="F3" s="217" t="s">
        <v>644</v>
      </c>
      <c r="G3" s="217" t="s">
        <v>645</v>
      </c>
      <c r="H3" s="215"/>
      <c r="I3" s="215"/>
    </row>
    <row r="4">
      <c r="A4" s="31">
        <v>1.0</v>
      </c>
      <c r="B4" s="219" t="s">
        <v>646</v>
      </c>
      <c r="C4" s="219" t="s">
        <v>647</v>
      </c>
      <c r="D4" s="26">
        <v>1.0</v>
      </c>
      <c r="E4" s="220">
        <v>500.0</v>
      </c>
      <c r="F4" s="220">
        <v>435.0</v>
      </c>
      <c r="G4" s="220">
        <v>65.0</v>
      </c>
      <c r="H4" s="221"/>
      <c r="I4" s="221"/>
    </row>
    <row r="5">
      <c r="A5" s="31">
        <v>2.0</v>
      </c>
      <c r="B5" s="219" t="s">
        <v>139</v>
      </c>
      <c r="C5" s="219" t="s">
        <v>648</v>
      </c>
      <c r="D5" s="34">
        <v>1.0</v>
      </c>
      <c r="E5" s="220">
        <v>1000.0</v>
      </c>
      <c r="F5" s="220">
        <v>800.0</v>
      </c>
      <c r="G5" s="220">
        <v>200.0</v>
      </c>
      <c r="H5" s="221"/>
      <c r="I5" s="221"/>
    </row>
    <row r="6">
      <c r="A6" s="31">
        <v>3.0</v>
      </c>
      <c r="B6" s="219" t="s">
        <v>649</v>
      </c>
      <c r="C6" s="219" t="s">
        <v>648</v>
      </c>
      <c r="D6" s="34">
        <v>1.0</v>
      </c>
      <c r="E6" s="220">
        <v>1000.0</v>
      </c>
      <c r="F6" s="220">
        <v>800.0</v>
      </c>
      <c r="G6" s="220">
        <v>200.0</v>
      </c>
      <c r="H6" s="221"/>
      <c r="I6" s="221"/>
    </row>
    <row r="7">
      <c r="A7" s="31">
        <v>4.0</v>
      </c>
      <c r="B7" s="219" t="s">
        <v>650</v>
      </c>
      <c r="C7" s="219" t="s">
        <v>651</v>
      </c>
      <c r="D7" s="34">
        <v>3.0</v>
      </c>
      <c r="E7" s="220">
        <v>550.0</v>
      </c>
      <c r="F7" s="220">
        <v>435.0</v>
      </c>
      <c r="G7" s="220">
        <v>115.0</v>
      </c>
      <c r="H7" s="221"/>
      <c r="I7" s="221"/>
    </row>
    <row r="8">
      <c r="A8" s="223"/>
      <c r="B8" s="224"/>
      <c r="C8" s="224"/>
      <c r="D8" s="224"/>
      <c r="E8" s="220">
        <v>600.0</v>
      </c>
      <c r="F8" s="220">
        <v>500.0</v>
      </c>
      <c r="G8" s="220">
        <v>100.0</v>
      </c>
      <c r="H8" s="221"/>
      <c r="I8" s="221"/>
    </row>
    <row r="9">
      <c r="A9" s="223"/>
      <c r="B9" s="224"/>
      <c r="C9" s="224"/>
      <c r="D9" s="224"/>
      <c r="E9" s="220">
        <v>750.0</v>
      </c>
      <c r="F9" s="220">
        <v>600.0</v>
      </c>
      <c r="G9" s="220">
        <v>150.0</v>
      </c>
      <c r="H9" s="221"/>
      <c r="I9" s="221"/>
    </row>
    <row r="10">
      <c r="A10" s="31">
        <v>7.0</v>
      </c>
      <c r="B10" s="219" t="s">
        <v>653</v>
      </c>
      <c r="C10" s="219" t="s">
        <v>647</v>
      </c>
      <c r="D10" s="34">
        <v>1.0</v>
      </c>
      <c r="E10" s="220">
        <v>550.0</v>
      </c>
      <c r="F10" s="220">
        <v>435.0</v>
      </c>
      <c r="G10" s="220">
        <v>115.0</v>
      </c>
      <c r="H10" s="221"/>
      <c r="I10" s="221"/>
    </row>
    <row r="11">
      <c r="A11" s="31">
        <v>8.0</v>
      </c>
      <c r="B11" s="219" t="s">
        <v>95</v>
      </c>
      <c r="C11" s="219" t="s">
        <v>654</v>
      </c>
      <c r="D11" s="34">
        <v>1.0</v>
      </c>
      <c r="E11" s="220">
        <v>560.0</v>
      </c>
      <c r="F11" s="220">
        <v>450.0</v>
      </c>
      <c r="G11" s="220">
        <v>110.0</v>
      </c>
      <c r="H11" s="221"/>
      <c r="I11" s="221"/>
    </row>
    <row r="12">
      <c r="A12" s="31">
        <v>9.0</v>
      </c>
      <c r="B12" s="219" t="s">
        <v>655</v>
      </c>
      <c r="C12" s="219" t="s">
        <v>654</v>
      </c>
      <c r="D12" s="34">
        <v>1.0</v>
      </c>
      <c r="E12" s="220">
        <v>560.0</v>
      </c>
      <c r="F12" s="220">
        <v>450.0</v>
      </c>
      <c r="G12" s="220">
        <v>110.0</v>
      </c>
      <c r="H12" s="221"/>
      <c r="I12" s="221"/>
    </row>
    <row r="13">
      <c r="A13" s="31">
        <v>10.0</v>
      </c>
      <c r="B13" s="219" t="s">
        <v>656</v>
      </c>
      <c r="C13" s="219" t="s">
        <v>654</v>
      </c>
      <c r="D13" s="34">
        <v>1.0</v>
      </c>
      <c r="E13" s="220">
        <v>560.0</v>
      </c>
      <c r="F13" s="220">
        <v>450.0</v>
      </c>
      <c r="G13" s="220">
        <v>110.0</v>
      </c>
      <c r="H13" s="221"/>
      <c r="I13" s="221"/>
    </row>
    <row r="14">
      <c r="A14" s="31">
        <v>11.0</v>
      </c>
      <c r="B14" s="219" t="s">
        <v>653</v>
      </c>
      <c r="C14" s="219" t="s">
        <v>654</v>
      </c>
      <c r="D14" s="34">
        <v>1.0</v>
      </c>
      <c r="E14" s="220">
        <v>560.0</v>
      </c>
      <c r="F14" s="220">
        <v>450.0</v>
      </c>
      <c r="G14" s="220">
        <v>110.0</v>
      </c>
      <c r="H14" s="221"/>
      <c r="I14" s="221"/>
    </row>
    <row r="15">
      <c r="A15" s="31">
        <v>12.0</v>
      </c>
      <c r="B15" s="219" t="s">
        <v>625</v>
      </c>
      <c r="C15" s="219" t="s">
        <v>657</v>
      </c>
      <c r="D15" s="34">
        <v>2.0</v>
      </c>
      <c r="E15" s="220">
        <v>1000.0</v>
      </c>
      <c r="F15" s="220">
        <v>800.0</v>
      </c>
      <c r="G15" s="220">
        <v>200.0</v>
      </c>
      <c r="H15" s="221"/>
      <c r="I15" s="221"/>
    </row>
    <row r="16">
      <c r="A16" s="31">
        <v>13.0</v>
      </c>
      <c r="B16" s="224"/>
      <c r="C16" s="219" t="s">
        <v>658</v>
      </c>
      <c r="D16" s="34">
        <v>2.0</v>
      </c>
      <c r="E16" s="220">
        <v>960.0</v>
      </c>
      <c r="F16" s="220">
        <v>800.0</v>
      </c>
      <c r="G16" s="220">
        <v>110.0</v>
      </c>
      <c r="H16" s="221"/>
      <c r="I16" s="221"/>
    </row>
    <row r="17">
      <c r="A17" s="31">
        <v>14.0</v>
      </c>
      <c r="B17" s="224"/>
      <c r="C17" s="219" t="s">
        <v>654</v>
      </c>
      <c r="D17" s="34">
        <v>1.0</v>
      </c>
      <c r="E17" s="220">
        <v>560.0</v>
      </c>
      <c r="F17" s="220">
        <v>450.0</v>
      </c>
      <c r="G17" s="220">
        <v>110.0</v>
      </c>
      <c r="H17" s="221"/>
      <c r="I17" s="221"/>
    </row>
    <row r="18">
      <c r="A18" s="31">
        <v>15.0</v>
      </c>
      <c r="B18" s="224"/>
      <c r="C18" s="219" t="s">
        <v>647</v>
      </c>
      <c r="D18" s="34">
        <v>4.0</v>
      </c>
      <c r="E18" s="220">
        <v>2200.0</v>
      </c>
      <c r="F18" s="220">
        <v>1740.0</v>
      </c>
      <c r="G18" s="220">
        <v>460.0</v>
      </c>
      <c r="H18" s="221"/>
      <c r="I18" s="221"/>
    </row>
    <row r="19">
      <c r="A19" s="31">
        <v>16.0</v>
      </c>
      <c r="B19" s="224"/>
      <c r="C19" s="219" t="s">
        <v>659</v>
      </c>
      <c r="D19" s="34">
        <v>1.0</v>
      </c>
      <c r="E19" s="220">
        <v>750.0</v>
      </c>
      <c r="F19" s="220">
        <v>600.0</v>
      </c>
      <c r="G19" s="220">
        <v>150.0</v>
      </c>
      <c r="H19" s="221"/>
      <c r="I19" s="221"/>
    </row>
    <row r="20">
      <c r="A20" s="31">
        <v>17.0</v>
      </c>
      <c r="B20" s="224"/>
      <c r="C20" s="219" t="s">
        <v>660</v>
      </c>
      <c r="D20" s="34">
        <v>1.0</v>
      </c>
      <c r="E20" s="220">
        <v>1000.0</v>
      </c>
      <c r="F20" s="220">
        <v>750.0</v>
      </c>
      <c r="G20" s="220">
        <v>250.0</v>
      </c>
      <c r="H20" s="221"/>
      <c r="I20" s="226">
        <v>1230.0</v>
      </c>
    </row>
    <row r="21">
      <c r="A21" s="31">
        <v>18.0</v>
      </c>
      <c r="B21" s="219" t="s">
        <v>661</v>
      </c>
      <c r="C21" s="219" t="s">
        <v>662</v>
      </c>
      <c r="D21" s="34">
        <v>1.0</v>
      </c>
      <c r="E21" s="220">
        <v>480.0</v>
      </c>
      <c r="F21" s="220">
        <v>400.0</v>
      </c>
      <c r="G21" s="220">
        <v>80.0</v>
      </c>
      <c r="H21" s="227" t="s">
        <v>663</v>
      </c>
      <c r="I21" s="226">
        <v>1500.0</v>
      </c>
    </row>
    <row r="22">
      <c r="A22" s="31">
        <v>19.0</v>
      </c>
      <c r="B22" s="224"/>
      <c r="C22" s="219" t="s">
        <v>664</v>
      </c>
      <c r="D22" s="34">
        <v>1.0</v>
      </c>
      <c r="E22" s="220">
        <v>750.0</v>
      </c>
      <c r="F22" s="220">
        <v>600.0</v>
      </c>
      <c r="G22" s="220">
        <v>150.0</v>
      </c>
      <c r="H22" s="227" t="s">
        <v>665</v>
      </c>
      <c r="I22" s="226">
        <v>250.0</v>
      </c>
    </row>
    <row r="23">
      <c r="A23" s="31">
        <v>20.0</v>
      </c>
      <c r="B23" s="224"/>
      <c r="C23" s="219" t="s">
        <v>657</v>
      </c>
      <c r="D23" s="219">
        <v>1.0</v>
      </c>
      <c r="E23" s="229">
        <v>500.0</v>
      </c>
      <c r="F23" s="229">
        <v>400.0</v>
      </c>
      <c r="G23" s="229">
        <v>100.0</v>
      </c>
      <c r="H23" s="221"/>
      <c r="I23" s="221"/>
    </row>
    <row r="24">
      <c r="A24" s="31">
        <v>21.0</v>
      </c>
      <c r="B24" s="219" t="s">
        <v>569</v>
      </c>
      <c r="C24" s="219" t="s">
        <v>664</v>
      </c>
      <c r="D24" s="34">
        <v>1.0</v>
      </c>
      <c r="E24" s="220">
        <v>750.0</v>
      </c>
      <c r="F24" s="220">
        <v>600.0</v>
      </c>
      <c r="G24" s="220">
        <v>150.0</v>
      </c>
      <c r="H24" s="221"/>
      <c r="I24" s="221"/>
    </row>
    <row r="25">
      <c r="A25" s="230"/>
      <c r="B25" s="231"/>
      <c r="C25" s="231"/>
      <c r="D25" s="231"/>
      <c r="E25" s="232"/>
      <c r="F25" s="232"/>
      <c r="G25" s="232"/>
      <c r="H25" s="221"/>
      <c r="I25" s="221"/>
    </row>
    <row r="26">
      <c r="A26" s="15">
        <v>22.0</v>
      </c>
      <c r="B26" s="15" t="s">
        <v>666</v>
      </c>
      <c r="C26" s="15" t="s">
        <v>667</v>
      </c>
      <c r="D26" s="15">
        <v>2.0</v>
      </c>
      <c r="E26" s="19">
        <v>450.0</v>
      </c>
      <c r="F26" s="19">
        <v>350.0</v>
      </c>
      <c r="G26" s="19">
        <v>200.0</v>
      </c>
      <c r="H26" s="24"/>
      <c r="I26" s="33"/>
    </row>
    <row r="27">
      <c r="A27" s="15">
        <v>23.0</v>
      </c>
      <c r="B27" s="5"/>
      <c r="C27" s="15" t="s">
        <v>668</v>
      </c>
      <c r="D27" s="15">
        <v>2.0</v>
      </c>
      <c r="E27" s="19">
        <v>750.0</v>
      </c>
      <c r="F27" s="19">
        <v>600.0</v>
      </c>
      <c r="G27" s="19">
        <v>300.0</v>
      </c>
      <c r="H27" s="24"/>
      <c r="I27" s="33"/>
    </row>
    <row r="28">
      <c r="A28" s="5"/>
      <c r="B28" s="15" t="s">
        <v>669</v>
      </c>
      <c r="C28" s="83" t="s">
        <v>647</v>
      </c>
      <c r="D28" s="15">
        <v>2.0</v>
      </c>
      <c r="E28" s="19">
        <v>1100.0</v>
      </c>
      <c r="F28" s="19">
        <v>870.0</v>
      </c>
      <c r="G28" s="19">
        <v>230.0</v>
      </c>
      <c r="H28" s="24"/>
      <c r="I28" s="33"/>
    </row>
    <row r="29">
      <c r="A29" s="5"/>
      <c r="B29" s="5"/>
      <c r="C29" s="15" t="s">
        <v>670</v>
      </c>
      <c r="D29" s="15">
        <v>1.0</v>
      </c>
      <c r="E29" s="19">
        <v>630.0</v>
      </c>
      <c r="F29" s="19">
        <v>500.0</v>
      </c>
      <c r="G29" s="19">
        <v>130.0</v>
      </c>
      <c r="H29" s="24"/>
      <c r="I29" s="33"/>
    </row>
    <row r="30">
      <c r="A30" s="5"/>
      <c r="B30" s="5"/>
      <c r="C30" s="83" t="s">
        <v>664</v>
      </c>
      <c r="D30" s="25">
        <v>1.0</v>
      </c>
      <c r="E30" s="233">
        <v>830.0</v>
      </c>
      <c r="F30" s="233">
        <v>600.0</v>
      </c>
      <c r="G30" s="19">
        <v>230.0</v>
      </c>
      <c r="H30" s="24"/>
      <c r="I30" s="33"/>
    </row>
    <row r="31">
      <c r="A31" s="5"/>
      <c r="B31" s="15" t="s">
        <v>672</v>
      </c>
      <c r="C31" s="15" t="s">
        <v>673</v>
      </c>
      <c r="D31" s="15">
        <v>2.0</v>
      </c>
      <c r="E31" s="19">
        <v>960.0</v>
      </c>
      <c r="F31" s="19">
        <v>800.0</v>
      </c>
      <c r="G31" s="19">
        <v>160.0</v>
      </c>
      <c r="H31" s="24"/>
      <c r="I31" s="33"/>
    </row>
    <row r="32">
      <c r="A32" s="5"/>
      <c r="B32" s="5"/>
      <c r="C32" s="15" t="s">
        <v>674</v>
      </c>
      <c r="D32" s="15">
        <v>1.0</v>
      </c>
      <c r="E32" s="19">
        <v>500.0</v>
      </c>
      <c r="F32" s="19">
        <v>400.0</v>
      </c>
      <c r="G32" s="19">
        <v>100.0</v>
      </c>
      <c r="H32" s="24"/>
      <c r="I32" s="33"/>
    </row>
    <row r="33">
      <c r="A33" s="5"/>
      <c r="B33" s="15" t="s">
        <v>502</v>
      </c>
      <c r="C33" s="83" t="s">
        <v>647</v>
      </c>
      <c r="D33" s="15">
        <v>1.0</v>
      </c>
      <c r="E33" s="19">
        <v>550.0</v>
      </c>
      <c r="F33" s="19">
        <v>430.0</v>
      </c>
      <c r="G33" s="19">
        <v>120.0</v>
      </c>
      <c r="H33" s="24"/>
      <c r="I33" s="33"/>
    </row>
    <row r="34">
      <c r="A34" s="5"/>
      <c r="B34" s="5"/>
      <c r="C34" s="83" t="s">
        <v>664</v>
      </c>
      <c r="D34" s="25">
        <v>1.0</v>
      </c>
      <c r="E34" s="233">
        <v>830.0</v>
      </c>
      <c r="F34" s="233">
        <v>600.0</v>
      </c>
      <c r="G34" s="19">
        <v>230.0</v>
      </c>
      <c r="H34" s="24"/>
      <c r="I34" s="33"/>
    </row>
    <row r="35">
      <c r="A35" s="5"/>
      <c r="B35" s="15" t="s">
        <v>676</v>
      </c>
      <c r="C35" s="15" t="s">
        <v>677</v>
      </c>
      <c r="D35" s="15">
        <v>1.0</v>
      </c>
      <c r="E35" s="19">
        <v>480.0</v>
      </c>
      <c r="F35" s="19">
        <v>400.0</v>
      </c>
      <c r="G35" s="19">
        <v>80.0</v>
      </c>
      <c r="H35" s="24"/>
      <c r="I35" s="33"/>
    </row>
    <row r="36">
      <c r="A36" s="5"/>
      <c r="B36" s="15" t="s">
        <v>678</v>
      </c>
      <c r="C36" s="15" t="s">
        <v>679</v>
      </c>
      <c r="D36" s="15">
        <v>1.0</v>
      </c>
      <c r="E36" s="19">
        <v>750.0</v>
      </c>
      <c r="F36" s="19">
        <v>600.0</v>
      </c>
      <c r="G36" s="24">
        <f t="shared" ref="G36:G46" si="1">E36-F36</f>
        <v>150</v>
      </c>
      <c r="H36" s="24"/>
      <c r="I36" s="33"/>
    </row>
    <row r="37">
      <c r="A37" s="5"/>
      <c r="B37" s="15" t="s">
        <v>681</v>
      </c>
      <c r="C37" s="15" t="s">
        <v>679</v>
      </c>
      <c r="D37" s="15">
        <v>1.0</v>
      </c>
      <c r="E37" s="19">
        <v>750.0</v>
      </c>
      <c r="F37" s="19">
        <v>600.0</v>
      </c>
      <c r="G37" s="24">
        <f t="shared" si="1"/>
        <v>150</v>
      </c>
      <c r="H37" s="19" t="s">
        <v>503</v>
      </c>
      <c r="I37" s="33"/>
    </row>
    <row r="38">
      <c r="A38" s="5"/>
      <c r="B38" s="5"/>
      <c r="C38" s="15" t="s">
        <v>679</v>
      </c>
      <c r="D38" s="15">
        <v>1.0</v>
      </c>
      <c r="E38" s="19">
        <v>750.0</v>
      </c>
      <c r="F38" s="19">
        <v>600.0</v>
      </c>
      <c r="G38" s="24">
        <f t="shared" si="1"/>
        <v>150</v>
      </c>
      <c r="H38" s="235" t="s">
        <v>80</v>
      </c>
      <c r="I38" s="33"/>
    </row>
    <row r="39">
      <c r="A39" s="5"/>
      <c r="B39" s="15" t="s">
        <v>683</v>
      </c>
      <c r="C39" s="83" t="s">
        <v>647</v>
      </c>
      <c r="D39" s="15">
        <v>1.0</v>
      </c>
      <c r="E39" s="19">
        <v>550.0</v>
      </c>
      <c r="F39" s="19">
        <v>430.0</v>
      </c>
      <c r="G39" s="24">
        <f t="shared" si="1"/>
        <v>120</v>
      </c>
      <c r="H39" s="236"/>
      <c r="I39" s="33"/>
    </row>
    <row r="40">
      <c r="A40" s="5"/>
      <c r="B40" s="5"/>
      <c r="C40" s="15" t="s">
        <v>685</v>
      </c>
      <c r="D40" s="15">
        <v>1.0</v>
      </c>
      <c r="E40" s="19">
        <v>480.0</v>
      </c>
      <c r="F40" s="19">
        <v>400.0</v>
      </c>
      <c r="G40" s="24">
        <f t="shared" si="1"/>
        <v>80</v>
      </c>
      <c r="H40" s="237"/>
      <c r="I40" s="33"/>
    </row>
    <row r="41">
      <c r="A41" s="5"/>
      <c r="B41" s="5"/>
      <c r="C41" s="15" t="s">
        <v>668</v>
      </c>
      <c r="D41" s="15">
        <v>1.0</v>
      </c>
      <c r="E41" s="19">
        <v>640.0</v>
      </c>
      <c r="F41" s="19">
        <v>450.0</v>
      </c>
      <c r="G41" s="24">
        <f t="shared" si="1"/>
        <v>190</v>
      </c>
      <c r="H41" s="24"/>
      <c r="I41" s="33"/>
    </row>
    <row r="42">
      <c r="A42" s="5"/>
      <c r="B42" s="5"/>
      <c r="C42" s="15" t="s">
        <v>688</v>
      </c>
      <c r="D42" s="15">
        <v>1.0</v>
      </c>
      <c r="E42" s="19">
        <v>1300.0</v>
      </c>
      <c r="F42" s="19">
        <v>950.0</v>
      </c>
      <c r="G42" s="24">
        <f t="shared" si="1"/>
        <v>350</v>
      </c>
      <c r="H42" s="24"/>
      <c r="I42" s="33"/>
    </row>
    <row r="43">
      <c r="A43" s="5"/>
      <c r="B43" s="5"/>
      <c r="C43" s="15" t="s">
        <v>689</v>
      </c>
      <c r="D43" s="15">
        <v>1.0</v>
      </c>
      <c r="E43" s="19">
        <v>480.0</v>
      </c>
      <c r="F43" s="19">
        <v>400.0</v>
      </c>
      <c r="G43" s="24">
        <f t="shared" si="1"/>
        <v>80</v>
      </c>
      <c r="H43" s="24"/>
      <c r="I43" s="33"/>
    </row>
    <row r="44">
      <c r="A44" s="5"/>
      <c r="B44" s="5"/>
      <c r="C44" s="15" t="s">
        <v>691</v>
      </c>
      <c r="D44" s="15">
        <v>1.0</v>
      </c>
      <c r="E44" s="19">
        <v>550.0</v>
      </c>
      <c r="F44" s="19">
        <v>430.0</v>
      </c>
      <c r="G44" s="24">
        <f t="shared" si="1"/>
        <v>120</v>
      </c>
      <c r="H44" s="24"/>
      <c r="I44" s="33"/>
    </row>
    <row r="45">
      <c r="A45" s="5"/>
      <c r="B45" s="5"/>
      <c r="C45" s="15" t="s">
        <v>692</v>
      </c>
      <c r="D45" s="15">
        <v>1.0</v>
      </c>
      <c r="E45" s="19">
        <v>550.0</v>
      </c>
      <c r="F45" s="19">
        <v>430.0</v>
      </c>
      <c r="G45" s="24">
        <f t="shared" si="1"/>
        <v>120</v>
      </c>
      <c r="H45" s="24"/>
      <c r="I45" s="33"/>
    </row>
    <row r="46">
      <c r="A46" s="5"/>
      <c r="B46" s="5"/>
      <c r="C46" s="5"/>
      <c r="D46" s="15">
        <v>1.0</v>
      </c>
      <c r="E46" s="19">
        <v>750.0</v>
      </c>
      <c r="F46" s="19">
        <v>600.0</v>
      </c>
      <c r="G46" s="24">
        <f t="shared" si="1"/>
        <v>150</v>
      </c>
      <c r="H46" s="24"/>
      <c r="I46" s="33"/>
    </row>
    <row r="47">
      <c r="A47" s="5"/>
      <c r="B47" s="5"/>
      <c r="C47" s="15" t="s">
        <v>693</v>
      </c>
      <c r="D47" s="15">
        <v>1.0</v>
      </c>
      <c r="E47" s="19">
        <v>1300.0</v>
      </c>
      <c r="F47" s="24"/>
      <c r="G47" s="24"/>
      <c r="H47" s="24"/>
      <c r="I47" s="33"/>
    </row>
    <row r="48">
      <c r="A48" s="78" t="s">
        <v>694</v>
      </c>
      <c r="B48" s="15"/>
      <c r="C48" s="15"/>
      <c r="D48" s="15"/>
      <c r="E48" s="19"/>
      <c r="F48" s="24"/>
      <c r="G48" s="19"/>
      <c r="H48" s="19"/>
      <c r="I48" s="33"/>
    </row>
    <row r="49">
      <c r="A49" s="5"/>
      <c r="B49" s="15" t="s">
        <v>695</v>
      </c>
      <c r="C49" s="15" t="s">
        <v>696</v>
      </c>
      <c r="D49" s="15">
        <v>1.0</v>
      </c>
      <c r="E49" s="19">
        <v>675.0</v>
      </c>
      <c r="F49" s="19">
        <v>600.0</v>
      </c>
      <c r="G49" s="19"/>
      <c r="H49" s="19" t="s">
        <v>435</v>
      </c>
      <c r="I49" s="33"/>
    </row>
    <row r="50">
      <c r="A50" s="5"/>
      <c r="B50" s="15" t="s">
        <v>697</v>
      </c>
      <c r="C50" s="15" t="s">
        <v>698</v>
      </c>
      <c r="D50" s="15">
        <v>3.0</v>
      </c>
      <c r="E50" s="19" t="s">
        <v>699</v>
      </c>
      <c r="F50" s="19" t="s">
        <v>700</v>
      </c>
      <c r="G50" s="19"/>
      <c r="H50" s="19" t="s">
        <v>308</v>
      </c>
      <c r="I50" s="33"/>
    </row>
    <row r="51">
      <c r="A51" s="5"/>
      <c r="B51" s="15" t="s">
        <v>315</v>
      </c>
      <c r="C51" s="15" t="s">
        <v>698</v>
      </c>
      <c r="D51" s="15">
        <v>1.0</v>
      </c>
      <c r="E51" s="19">
        <v>750.0</v>
      </c>
      <c r="F51" s="24"/>
      <c r="G51" s="19"/>
      <c r="H51" s="19" t="s">
        <v>316</v>
      </c>
      <c r="I51" s="33"/>
    </row>
    <row r="52">
      <c r="A52" s="5"/>
      <c r="B52" s="15" t="s">
        <v>637</v>
      </c>
      <c r="C52" s="15"/>
      <c r="D52" s="15">
        <v>1.0</v>
      </c>
      <c r="E52" s="19">
        <v>675.0</v>
      </c>
      <c r="F52" s="19">
        <v>600.0</v>
      </c>
      <c r="G52" s="19"/>
      <c r="H52" s="19" t="s">
        <v>638</v>
      </c>
      <c r="I52" s="33"/>
    </row>
    <row r="53">
      <c r="A53" s="5"/>
      <c r="B53" s="15" t="s">
        <v>701</v>
      </c>
      <c r="C53" s="15" t="s">
        <v>702</v>
      </c>
      <c r="D53" s="15">
        <v>2.0</v>
      </c>
      <c r="E53" s="19" t="s">
        <v>703</v>
      </c>
      <c r="F53" s="19" t="s">
        <v>704</v>
      </c>
      <c r="G53" s="24"/>
      <c r="H53" s="186" t="s">
        <v>638</v>
      </c>
      <c r="I53" s="33"/>
    </row>
    <row r="54">
      <c r="A54" s="5"/>
      <c r="B54" s="15" t="s">
        <v>315</v>
      </c>
      <c r="C54" s="15" t="s">
        <v>705</v>
      </c>
      <c r="D54" s="15">
        <v>1.0</v>
      </c>
      <c r="E54" s="19">
        <v>600.0</v>
      </c>
      <c r="F54" s="24"/>
      <c r="G54" s="24"/>
      <c r="H54" s="186" t="s">
        <v>326</v>
      </c>
      <c r="I54" s="33"/>
    </row>
    <row r="55">
      <c r="A55" s="5"/>
      <c r="B55" s="5"/>
      <c r="C55" s="5"/>
      <c r="D55" s="5"/>
      <c r="E55" s="24"/>
      <c r="F55" s="24"/>
      <c r="G55" s="24"/>
      <c r="H55" s="33"/>
      <c r="I55" s="33"/>
    </row>
    <row r="56">
      <c r="A56" s="5"/>
      <c r="B56" s="5"/>
      <c r="C56" s="5"/>
      <c r="D56" s="5"/>
      <c r="E56" s="24"/>
      <c r="F56" s="24"/>
      <c r="G56" s="24"/>
      <c r="H56" s="33"/>
      <c r="I56" s="33"/>
    </row>
    <row r="57">
      <c r="A57" s="5"/>
      <c r="B57" s="5"/>
      <c r="C57" s="5"/>
      <c r="D57" s="5"/>
      <c r="E57" s="24"/>
      <c r="F57" s="24"/>
      <c r="G57" s="24"/>
      <c r="H57" s="33"/>
      <c r="I57" s="33"/>
    </row>
    <row r="58">
      <c r="A58" s="5"/>
      <c r="B58" s="5"/>
      <c r="C58" s="5"/>
      <c r="D58" s="5"/>
      <c r="E58" s="24"/>
      <c r="F58" s="24"/>
      <c r="G58" s="24"/>
      <c r="H58" s="33"/>
      <c r="I58" s="33"/>
    </row>
    <row r="59">
      <c r="A59" s="5"/>
      <c r="B59" s="5"/>
      <c r="C59" s="5"/>
      <c r="D59" s="5"/>
      <c r="E59" s="24"/>
      <c r="F59" s="24"/>
      <c r="G59" s="24"/>
      <c r="H59" s="33"/>
      <c r="I59" s="33"/>
    </row>
    <row r="60">
      <c r="E60" s="33"/>
      <c r="F60" s="33"/>
      <c r="G60" s="33"/>
      <c r="H60" s="33"/>
      <c r="I60" s="33"/>
    </row>
    <row r="61">
      <c r="E61" s="33"/>
      <c r="F61" s="33"/>
      <c r="G61" s="33"/>
      <c r="H61" s="33"/>
      <c r="I61" s="33"/>
    </row>
    <row r="62">
      <c r="E62" s="33"/>
      <c r="F62" s="33"/>
      <c r="G62" s="33"/>
      <c r="H62" s="33"/>
      <c r="I62" s="33"/>
    </row>
    <row r="63">
      <c r="E63" s="33"/>
      <c r="F63" s="33"/>
      <c r="G63" s="33"/>
      <c r="H63" s="33"/>
      <c r="I63" s="33"/>
    </row>
    <row r="64">
      <c r="E64" s="33"/>
      <c r="F64" s="33"/>
      <c r="G64" s="33"/>
      <c r="H64" s="33"/>
      <c r="I64" s="33"/>
    </row>
    <row r="65">
      <c r="E65" s="33"/>
      <c r="F65" s="33"/>
      <c r="G65" s="33"/>
      <c r="H65" s="33"/>
      <c r="I65" s="33"/>
    </row>
    <row r="66">
      <c r="E66" s="33"/>
      <c r="F66" s="33"/>
      <c r="G66" s="33"/>
      <c r="H66" s="33"/>
      <c r="I66" s="33"/>
    </row>
    <row r="67">
      <c r="E67" s="33"/>
      <c r="F67" s="33"/>
      <c r="G67" s="33"/>
      <c r="H67" s="33"/>
      <c r="I67" s="33"/>
    </row>
    <row r="68">
      <c r="E68" s="33"/>
      <c r="F68" s="33"/>
      <c r="G68" s="33"/>
      <c r="H68" s="33"/>
      <c r="I68" s="33"/>
    </row>
    <row r="69">
      <c r="E69" s="33"/>
      <c r="F69" s="33"/>
      <c r="G69" s="33"/>
      <c r="H69" s="33"/>
      <c r="I69" s="33"/>
    </row>
    <row r="70">
      <c r="E70" s="33"/>
      <c r="F70" s="33"/>
      <c r="G70" s="33"/>
      <c r="H70" s="33"/>
      <c r="I70" s="33"/>
    </row>
    <row r="71">
      <c r="E71" s="33"/>
      <c r="F71" s="33"/>
      <c r="G71" s="33"/>
      <c r="H71" s="33"/>
      <c r="I71" s="33"/>
    </row>
    <row r="72">
      <c r="E72" s="33"/>
      <c r="F72" s="33"/>
      <c r="G72" s="33"/>
      <c r="H72" s="33"/>
      <c r="I72" s="33"/>
    </row>
  </sheetData>
  <mergeCells count="2">
    <mergeCell ref="A2:G2"/>
    <mergeCell ref="H38:H4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4.0"/>
    <col customWidth="1" min="8" max="8" width="22.29"/>
    <col customWidth="1" min="11" max="11" width="10.57"/>
    <col customWidth="1" min="12" max="12" width="32.0"/>
    <col customWidth="1" min="14" max="14" width="19.43"/>
  </cols>
  <sheetData>
    <row r="4">
      <c r="B4" s="222" t="s">
        <v>5</v>
      </c>
      <c r="C4" s="225" t="s">
        <v>652</v>
      </c>
      <c r="D4" s="228" t="s">
        <v>486</v>
      </c>
      <c r="E4" s="132" t="s">
        <v>598</v>
      </c>
      <c r="F4" s="132" t="s">
        <v>6</v>
      </c>
      <c r="G4" s="132" t="s">
        <v>26</v>
      </c>
      <c r="H4" s="132" t="s">
        <v>21</v>
      </c>
      <c r="I4" s="170"/>
    </row>
    <row r="5">
      <c r="B5" s="180">
        <v>1.0</v>
      </c>
      <c r="C5" s="63"/>
      <c r="D5" s="136"/>
      <c r="E5" s="206"/>
      <c r="F5" s="63"/>
      <c r="G5" s="60"/>
      <c r="H5" s="60"/>
      <c r="I5" s="60"/>
    </row>
    <row r="6">
      <c r="B6" s="180">
        <v>2.0</v>
      </c>
      <c r="C6" s="15"/>
      <c r="D6" s="140"/>
      <c r="E6" s="140"/>
      <c r="F6" s="15"/>
      <c r="G6" s="5"/>
      <c r="H6" s="5"/>
      <c r="I6" s="5"/>
      <c r="L6" s="135" t="s">
        <v>604</v>
      </c>
      <c r="M6" s="135" t="s">
        <v>6</v>
      </c>
      <c r="N6" s="135" t="s">
        <v>488</v>
      </c>
      <c r="O6" s="135" t="s">
        <v>15</v>
      </c>
    </row>
    <row r="7">
      <c r="B7" s="180">
        <v>3.0</v>
      </c>
      <c r="C7" s="5"/>
      <c r="D7" s="51"/>
      <c r="E7" s="51"/>
      <c r="F7" s="5"/>
      <c r="G7" s="5"/>
      <c r="H7" s="5"/>
      <c r="I7" s="5"/>
      <c r="L7" s="174" t="s">
        <v>671</v>
      </c>
      <c r="M7" s="174">
        <v>10.0</v>
      </c>
      <c r="N7" s="174">
        <v>140.0</v>
      </c>
      <c r="O7" s="174">
        <v>180.0</v>
      </c>
    </row>
    <row r="8">
      <c r="B8" s="180">
        <v>4.0</v>
      </c>
      <c r="C8" s="5"/>
      <c r="D8" s="51"/>
      <c r="E8" s="51"/>
      <c r="F8" s="5"/>
      <c r="G8" s="5"/>
      <c r="H8" s="5"/>
      <c r="I8" s="5"/>
      <c r="L8" s="116" t="s">
        <v>675</v>
      </c>
      <c r="M8" s="116">
        <v>10.0</v>
      </c>
      <c r="N8" s="174">
        <v>140.0</v>
      </c>
      <c r="O8" s="174">
        <v>180.0</v>
      </c>
    </row>
    <row r="9">
      <c r="B9" s="180">
        <v>5.0</v>
      </c>
      <c r="C9" s="5"/>
      <c r="D9" s="51"/>
      <c r="E9" s="51"/>
      <c r="F9" s="5"/>
      <c r="G9" s="5"/>
      <c r="H9" s="5"/>
      <c r="I9" s="5"/>
      <c r="L9" s="234" t="s">
        <v>680</v>
      </c>
      <c r="M9" s="234">
        <v>10.0</v>
      </c>
      <c r="N9" s="174">
        <v>140.0</v>
      </c>
      <c r="O9" s="174">
        <v>180.0</v>
      </c>
    </row>
    <row r="10">
      <c r="B10" s="180">
        <v>6.0</v>
      </c>
      <c r="C10" s="5"/>
      <c r="D10" s="51"/>
      <c r="E10" s="51"/>
      <c r="F10" s="5"/>
      <c r="G10" s="5"/>
      <c r="H10" s="5"/>
      <c r="I10" s="5"/>
      <c r="L10" s="234" t="s">
        <v>682</v>
      </c>
      <c r="M10" s="234">
        <v>10.0</v>
      </c>
      <c r="N10" s="116">
        <v>35.0</v>
      </c>
      <c r="O10" s="116">
        <v>50.0</v>
      </c>
    </row>
    <row r="11">
      <c r="B11" s="180">
        <v>7.0</v>
      </c>
      <c r="C11" s="5"/>
      <c r="D11" s="51"/>
      <c r="E11" s="51"/>
      <c r="F11" s="5"/>
      <c r="G11" s="5"/>
      <c r="H11" s="5"/>
      <c r="I11" s="5"/>
      <c r="L11" s="234" t="s">
        <v>684</v>
      </c>
      <c r="M11" s="234">
        <v>10.0</v>
      </c>
      <c r="N11" s="116">
        <v>35.0</v>
      </c>
      <c r="O11" s="116">
        <v>50.0</v>
      </c>
    </row>
    <row r="12">
      <c r="B12" s="180">
        <v>8.0</v>
      </c>
      <c r="C12" s="5"/>
      <c r="D12" s="51"/>
      <c r="E12" s="51"/>
      <c r="F12" s="5"/>
      <c r="G12" s="5"/>
      <c r="H12" s="5"/>
      <c r="I12" s="5"/>
      <c r="L12" s="234" t="s">
        <v>686</v>
      </c>
      <c r="M12" s="234">
        <v>10.0</v>
      </c>
      <c r="N12" s="116">
        <v>35.0</v>
      </c>
      <c r="O12" s="116">
        <v>50.0</v>
      </c>
    </row>
    <row r="13">
      <c r="B13" s="180">
        <v>9.0</v>
      </c>
      <c r="C13" s="5"/>
      <c r="D13" s="51"/>
      <c r="E13" s="51"/>
      <c r="F13" s="5"/>
      <c r="G13" s="5"/>
      <c r="H13" s="5"/>
      <c r="I13" s="5"/>
      <c r="L13" s="116" t="s">
        <v>687</v>
      </c>
      <c r="M13" s="234">
        <v>10.0</v>
      </c>
      <c r="N13" s="116">
        <v>35.0</v>
      </c>
      <c r="O13" s="116">
        <v>50.0</v>
      </c>
    </row>
    <row r="14">
      <c r="B14" s="180">
        <v>10.0</v>
      </c>
      <c r="C14" s="5"/>
      <c r="D14" s="51"/>
      <c r="E14" s="51"/>
      <c r="F14" s="5"/>
      <c r="G14" s="5"/>
      <c r="H14" s="5"/>
      <c r="I14" s="5"/>
      <c r="L14" s="116" t="s">
        <v>690</v>
      </c>
      <c r="M14" s="234">
        <v>10.0</v>
      </c>
      <c r="N14" s="116">
        <v>35.0</v>
      </c>
      <c r="O14" s="116">
        <v>50.0</v>
      </c>
    </row>
    <row r="15">
      <c r="B15" s="180"/>
      <c r="C15" s="5"/>
      <c r="D15" s="51"/>
      <c r="E15" s="51"/>
      <c r="F15" s="5"/>
      <c r="G15" s="5"/>
      <c r="H15" s="5"/>
      <c r="I15" s="5"/>
      <c r="M15" s="212">
        <f>SUM(M7:M14)</f>
        <v>80</v>
      </c>
    </row>
    <row r="16">
      <c r="B16" s="180"/>
      <c r="C16" s="5"/>
      <c r="D16" s="51"/>
      <c r="E16" s="51"/>
      <c r="F16" s="5"/>
      <c r="G16" s="5"/>
      <c r="H16" s="5"/>
      <c r="I16" s="5"/>
    </row>
    <row r="17">
      <c r="B17" s="180"/>
      <c r="C17" s="5"/>
      <c r="D17" s="51"/>
      <c r="E17" s="51"/>
      <c r="F17" s="5"/>
      <c r="G17" s="5"/>
      <c r="H17" s="5"/>
      <c r="I17" s="5"/>
    </row>
    <row r="18">
      <c r="B18" s="180"/>
      <c r="C18" s="5"/>
      <c r="D18" s="51"/>
      <c r="E18" s="51"/>
      <c r="F18" s="5"/>
      <c r="G18" s="5"/>
      <c r="H18" s="5"/>
      <c r="I18" s="5"/>
    </row>
    <row r="19">
      <c r="B19" s="180"/>
      <c r="C19" s="5"/>
      <c r="D19" s="51"/>
      <c r="E19" s="51"/>
      <c r="F19" s="5"/>
      <c r="G19" s="5"/>
      <c r="H19" s="5"/>
      <c r="I19" s="5"/>
    </row>
    <row r="20">
      <c r="B20" s="238"/>
      <c r="C20" s="5"/>
      <c r="D20" s="51"/>
      <c r="E20" s="51"/>
      <c r="F20" s="5"/>
      <c r="G20" s="5"/>
      <c r="H20" s="5"/>
      <c r="I20" s="5"/>
    </row>
    <row r="21">
      <c r="B21" s="238"/>
      <c r="C21" s="5"/>
      <c r="D21" s="51"/>
      <c r="E21" s="51"/>
      <c r="F21" s="5"/>
      <c r="G21" s="5"/>
      <c r="H21" s="5"/>
      <c r="I21" s="5"/>
    </row>
    <row r="22">
      <c r="B22" s="238"/>
      <c r="C22" s="5"/>
      <c r="D22" s="51"/>
      <c r="E22" s="51"/>
      <c r="F22" s="5"/>
      <c r="G22" s="5"/>
      <c r="H22" s="5"/>
      <c r="I22" s="5"/>
    </row>
    <row r="23">
      <c r="B23" s="238"/>
      <c r="C23" s="5"/>
      <c r="D23" s="51"/>
      <c r="E23" s="51"/>
      <c r="F23" s="5"/>
      <c r="G23" s="5"/>
      <c r="H23" s="5"/>
      <c r="I23" s="5"/>
    </row>
    <row r="24">
      <c r="B24" s="238"/>
      <c r="C24" s="5"/>
      <c r="D24" s="51"/>
      <c r="E24" s="51"/>
      <c r="F24" s="5"/>
      <c r="G24" s="5"/>
      <c r="H24" s="5"/>
      <c r="I24" s="5"/>
    </row>
    <row r="25">
      <c r="B25" s="238"/>
      <c r="C25" s="5"/>
      <c r="D25" s="51"/>
      <c r="E25" s="51"/>
      <c r="F25" s="5"/>
      <c r="G25" s="5"/>
      <c r="H25" s="5"/>
      <c r="I25" s="5"/>
    </row>
    <row r="26">
      <c r="B26" s="238"/>
      <c r="C26" s="5"/>
      <c r="D26" s="51"/>
      <c r="E26" s="51"/>
      <c r="F26" s="5"/>
      <c r="G26" s="5"/>
      <c r="H26" s="5"/>
      <c r="I26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0"/>
    <col customWidth="1" min="3" max="3" width="11.14"/>
    <col customWidth="1" min="8" max="8" width="17.29"/>
    <col customWidth="1" min="12" max="12" width="19.86"/>
  </cols>
  <sheetData>
    <row r="3">
      <c r="B3" s="222" t="s">
        <v>5</v>
      </c>
      <c r="C3" s="225" t="s">
        <v>652</v>
      </c>
      <c r="D3" s="228" t="s">
        <v>486</v>
      </c>
      <c r="E3" s="132" t="s">
        <v>598</v>
      </c>
      <c r="F3" s="132" t="s">
        <v>6</v>
      </c>
      <c r="G3" s="132" t="s">
        <v>26</v>
      </c>
      <c r="H3" s="132" t="s">
        <v>21</v>
      </c>
      <c r="I3" s="170"/>
    </row>
    <row r="4">
      <c r="B4" s="180">
        <v>1.0</v>
      </c>
      <c r="C4" s="121" t="s">
        <v>706</v>
      </c>
      <c r="D4" s="136"/>
      <c r="E4" s="206"/>
      <c r="F4" s="63"/>
      <c r="G4" s="60"/>
      <c r="H4" s="60"/>
      <c r="I4" s="60"/>
      <c r="L4" s="135" t="s">
        <v>707</v>
      </c>
      <c r="M4" s="135" t="s">
        <v>26</v>
      </c>
    </row>
    <row r="5">
      <c r="B5" s="180">
        <v>2.0</v>
      </c>
      <c r="C5" s="116"/>
      <c r="D5" s="140"/>
      <c r="E5" s="140"/>
      <c r="F5" s="15"/>
      <c r="G5" s="5"/>
      <c r="H5" s="5"/>
      <c r="I5" s="5"/>
      <c r="L5" s="174">
        <v>6.0</v>
      </c>
      <c r="M5" s="174">
        <v>250.0</v>
      </c>
    </row>
    <row r="6">
      <c r="B6" s="180">
        <v>3.0</v>
      </c>
      <c r="C6" s="118"/>
      <c r="D6" s="51"/>
      <c r="E6" s="51"/>
      <c r="F6" s="5"/>
      <c r="G6" s="5"/>
      <c r="H6" s="5"/>
      <c r="I6" s="5"/>
    </row>
    <row r="7">
      <c r="B7" s="180">
        <v>4.0</v>
      </c>
      <c r="C7" s="118"/>
      <c r="D7" s="51"/>
      <c r="E7" s="51"/>
      <c r="F7" s="5"/>
      <c r="G7" s="5"/>
      <c r="H7" s="5"/>
      <c r="I7" s="5"/>
    </row>
    <row r="8">
      <c r="B8" s="180">
        <v>5.0</v>
      </c>
      <c r="C8" s="118"/>
      <c r="D8" s="51"/>
      <c r="E8" s="51"/>
      <c r="F8" s="5"/>
      <c r="G8" s="5"/>
      <c r="H8" s="5"/>
      <c r="I8" s="5"/>
    </row>
    <row r="9">
      <c r="B9" s="180">
        <v>6.0</v>
      </c>
      <c r="C9" s="174"/>
      <c r="D9" s="51"/>
      <c r="E9" s="51"/>
      <c r="F9" s="5"/>
      <c r="G9" s="5"/>
      <c r="H9" s="5"/>
      <c r="I9" s="5"/>
    </row>
    <row r="10">
      <c r="B10" s="180">
        <v>7.0</v>
      </c>
      <c r="C10" s="118"/>
      <c r="D10" s="51"/>
      <c r="E10" s="51"/>
      <c r="F10" s="5"/>
      <c r="G10" s="5"/>
      <c r="H10" s="5"/>
      <c r="I10" s="5"/>
    </row>
    <row r="11">
      <c r="B11" s="180">
        <v>8.0</v>
      </c>
      <c r="C11" s="118"/>
      <c r="D11" s="51"/>
      <c r="E11" s="51"/>
      <c r="F11" s="5"/>
      <c r="G11" s="5"/>
      <c r="H11" s="5"/>
      <c r="I11" s="5"/>
    </row>
    <row r="12">
      <c r="B12" s="180">
        <v>9.0</v>
      </c>
      <c r="C12" s="118"/>
      <c r="D12" s="51"/>
      <c r="E12" s="51"/>
      <c r="F12" s="5"/>
      <c r="G12" s="5"/>
      <c r="H12" s="5"/>
      <c r="I12" s="5"/>
    </row>
    <row r="13">
      <c r="B13" s="180">
        <v>10.0</v>
      </c>
      <c r="C13" s="118"/>
      <c r="D13" s="51"/>
      <c r="E13" s="51"/>
      <c r="F13" s="5"/>
      <c r="G13" s="5"/>
      <c r="H13" s="5"/>
      <c r="I13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  <col customWidth="1" min="3" max="3" width="16.71"/>
    <col customWidth="1" min="4" max="4" width="17.43"/>
    <col customWidth="1" min="6" max="6" width="23.43"/>
    <col customWidth="1" min="7" max="7" width="16.57"/>
    <col customWidth="1" min="8" max="8" width="15.71"/>
  </cols>
  <sheetData>
    <row r="1">
      <c r="A1" s="240" t="s">
        <v>709</v>
      </c>
      <c r="B1" s="4"/>
      <c r="C1" s="4"/>
      <c r="D1" s="8"/>
    </row>
    <row r="2">
      <c r="A2" s="15" t="s">
        <v>713</v>
      </c>
      <c r="B2" s="15" t="s">
        <v>714</v>
      </c>
      <c r="C2" s="15" t="s">
        <v>715</v>
      </c>
      <c r="D2" s="15" t="s">
        <v>10</v>
      </c>
    </row>
    <row r="3">
      <c r="A3" s="15" t="s">
        <v>716</v>
      </c>
      <c r="B3" s="19">
        <v>1300.0</v>
      </c>
      <c r="C3" s="19">
        <v>130.0</v>
      </c>
      <c r="D3" s="19" t="s">
        <v>717</v>
      </c>
      <c r="E3" s="176" t="s">
        <v>718</v>
      </c>
      <c r="F3" s="242" t="s">
        <v>719</v>
      </c>
      <c r="G3" s="4"/>
      <c r="H3" s="8"/>
    </row>
    <row r="4">
      <c r="A4" s="15" t="s">
        <v>720</v>
      </c>
      <c r="B4" s="19">
        <v>1500.0</v>
      </c>
      <c r="C4" s="19">
        <v>150.0</v>
      </c>
      <c r="D4" s="24"/>
      <c r="E4" s="33"/>
      <c r="F4" s="19" t="s">
        <v>4</v>
      </c>
      <c r="G4" s="85" t="s">
        <v>721</v>
      </c>
      <c r="H4" s="85" t="s">
        <v>715</v>
      </c>
    </row>
    <row r="5">
      <c r="A5" s="15" t="s">
        <v>722</v>
      </c>
      <c r="B5" s="19">
        <v>1200.0</v>
      </c>
      <c r="C5" s="19">
        <v>120.0</v>
      </c>
      <c r="D5" s="19" t="s">
        <v>723</v>
      </c>
      <c r="E5" s="186"/>
      <c r="F5" s="19" t="s">
        <v>722</v>
      </c>
      <c r="G5" s="19">
        <v>1200.0</v>
      </c>
      <c r="H5" s="19">
        <v>120.0</v>
      </c>
    </row>
    <row r="6">
      <c r="A6" s="15" t="s">
        <v>724</v>
      </c>
      <c r="B6" s="19">
        <v>1500.0</v>
      </c>
      <c r="C6" s="19">
        <v>150.0</v>
      </c>
      <c r="D6" s="24"/>
      <c r="E6" s="186"/>
      <c r="F6" s="19" t="s">
        <v>725</v>
      </c>
      <c r="G6" s="19">
        <v>4500.0</v>
      </c>
      <c r="H6" s="19">
        <v>450.0</v>
      </c>
    </row>
    <row r="7">
      <c r="A7" s="15" t="s">
        <v>725</v>
      </c>
      <c r="B7" s="19">
        <v>4500.0</v>
      </c>
      <c r="C7" s="19">
        <v>450.0</v>
      </c>
      <c r="D7" s="19" t="s">
        <v>726</v>
      </c>
      <c r="E7" s="186"/>
      <c r="F7" s="19" t="s">
        <v>727</v>
      </c>
      <c r="G7" s="19">
        <v>2100.0</v>
      </c>
      <c r="H7" s="19">
        <v>210.0</v>
      </c>
    </row>
    <row r="8">
      <c r="A8" s="15" t="s">
        <v>727</v>
      </c>
      <c r="B8" s="19">
        <v>2100.0</v>
      </c>
      <c r="C8" s="19">
        <v>210.0</v>
      </c>
      <c r="D8" s="19" t="s">
        <v>728</v>
      </c>
      <c r="E8" s="186"/>
      <c r="F8" s="19" t="s">
        <v>729</v>
      </c>
      <c r="G8" s="19">
        <v>2700.0</v>
      </c>
      <c r="H8" s="19">
        <v>270.0</v>
      </c>
    </row>
    <row r="9">
      <c r="A9" s="15" t="s">
        <v>729</v>
      </c>
      <c r="B9" s="19">
        <v>2700.0</v>
      </c>
      <c r="C9" s="19">
        <v>270.0</v>
      </c>
      <c r="D9" s="19" t="s">
        <v>730</v>
      </c>
      <c r="E9" s="186"/>
      <c r="F9" s="19" t="s">
        <v>731</v>
      </c>
      <c r="G9" s="19">
        <v>700.0</v>
      </c>
      <c r="H9" s="94">
        <v>70.0</v>
      </c>
    </row>
    <row r="10">
      <c r="A10" s="15" t="s">
        <v>731</v>
      </c>
      <c r="B10" s="19">
        <v>700.0</v>
      </c>
      <c r="C10" s="19">
        <v>70.0</v>
      </c>
      <c r="D10" s="19" t="s">
        <v>732</v>
      </c>
      <c r="E10" s="186"/>
      <c r="F10" s="19" t="s">
        <v>733</v>
      </c>
      <c r="G10" s="19">
        <v>600.0</v>
      </c>
      <c r="H10" s="19">
        <v>60.0</v>
      </c>
    </row>
    <row r="11">
      <c r="A11" s="15" t="s">
        <v>734</v>
      </c>
      <c r="B11" s="19">
        <v>700.0</v>
      </c>
      <c r="C11" s="19">
        <v>70.0</v>
      </c>
      <c r="D11" s="24"/>
      <c r="E11" s="186"/>
      <c r="F11" s="19" t="s">
        <v>735</v>
      </c>
      <c r="G11" s="19">
        <v>600.0</v>
      </c>
      <c r="H11" s="19">
        <v>60.0</v>
      </c>
    </row>
    <row r="12">
      <c r="A12" s="15" t="s">
        <v>736</v>
      </c>
      <c r="B12" s="19">
        <v>700.0</v>
      </c>
      <c r="C12" s="19">
        <v>70.0</v>
      </c>
      <c r="D12" s="24"/>
      <c r="E12" s="186"/>
      <c r="F12" s="19" t="s">
        <v>737</v>
      </c>
      <c r="G12" s="19">
        <v>600.0</v>
      </c>
      <c r="H12" s="19">
        <v>60.0</v>
      </c>
    </row>
    <row r="13">
      <c r="A13" s="15" t="s">
        <v>733</v>
      </c>
      <c r="B13" s="19">
        <v>600.0</v>
      </c>
      <c r="C13" s="19">
        <v>60.0</v>
      </c>
      <c r="D13" s="19" t="s">
        <v>738</v>
      </c>
      <c r="E13" s="186"/>
      <c r="F13" s="19" t="s">
        <v>739</v>
      </c>
      <c r="G13" s="19">
        <v>2500.0</v>
      </c>
      <c r="H13" s="19">
        <v>250.0</v>
      </c>
    </row>
    <row r="14">
      <c r="A14" s="15" t="s">
        <v>740</v>
      </c>
      <c r="B14" s="19">
        <v>600.0</v>
      </c>
      <c r="C14" s="19">
        <v>60.0</v>
      </c>
      <c r="D14" s="24"/>
      <c r="E14" s="33"/>
      <c r="F14" s="33"/>
      <c r="G14" s="33">
        <f t="shared" ref="G14:H14" si="1">SUM(G5:G13)</f>
        <v>15500</v>
      </c>
      <c r="H14" s="33">
        <f t="shared" si="1"/>
        <v>1550</v>
      </c>
    </row>
    <row r="15">
      <c r="A15" s="15" t="s">
        <v>735</v>
      </c>
      <c r="B15" s="19">
        <v>600.0</v>
      </c>
      <c r="C15" s="19">
        <v>60.0</v>
      </c>
      <c r="D15" s="19" t="s">
        <v>741</v>
      </c>
      <c r="E15" s="33"/>
      <c r="F15" s="33"/>
      <c r="G15" s="243" t="s">
        <v>742</v>
      </c>
      <c r="H15" s="244">
        <f>G14-H14</f>
        <v>13950</v>
      </c>
    </row>
    <row r="16">
      <c r="A16" s="15" t="s">
        <v>737</v>
      </c>
      <c r="B16" s="19">
        <v>600.0</v>
      </c>
      <c r="C16" s="19">
        <v>60.0</v>
      </c>
      <c r="D16" s="19" t="s">
        <v>741</v>
      </c>
      <c r="E16" s="33"/>
      <c r="F16" s="33"/>
      <c r="G16" s="33"/>
      <c r="H16" s="33"/>
    </row>
    <row r="17">
      <c r="A17" s="15" t="s">
        <v>743</v>
      </c>
      <c r="B17" s="19">
        <v>2600.0</v>
      </c>
      <c r="C17" s="19">
        <v>260.0</v>
      </c>
      <c r="D17" s="24"/>
      <c r="E17" s="33"/>
      <c r="F17" s="33"/>
      <c r="G17" s="33"/>
      <c r="H17" s="33"/>
    </row>
    <row r="18">
      <c r="A18" s="15" t="s">
        <v>739</v>
      </c>
      <c r="B18" s="19">
        <v>2500.0</v>
      </c>
      <c r="C18" s="19">
        <v>250.0</v>
      </c>
      <c r="D18" s="19" t="s">
        <v>744</v>
      </c>
      <c r="E18" s="33"/>
      <c r="F18" s="33"/>
      <c r="G18" s="33"/>
      <c r="H18" s="33"/>
    </row>
    <row r="19">
      <c r="A19" s="5"/>
      <c r="B19" s="24"/>
      <c r="C19" s="24"/>
      <c r="D19" s="24"/>
      <c r="E19" s="33"/>
      <c r="F19" s="33"/>
      <c r="G19" s="33"/>
      <c r="H19" s="33"/>
    </row>
    <row r="20">
      <c r="A20" s="5"/>
      <c r="B20" s="24"/>
      <c r="C20" s="24"/>
      <c r="D20" s="24"/>
      <c r="E20" s="33"/>
      <c r="F20" s="33"/>
      <c r="G20" s="33"/>
      <c r="H20" s="33"/>
    </row>
    <row r="21">
      <c r="A21" s="5"/>
      <c r="B21" s="24"/>
      <c r="C21" s="24"/>
      <c r="D21" s="24"/>
      <c r="E21" s="33"/>
      <c r="F21" s="33"/>
      <c r="G21" s="33"/>
      <c r="H21" s="33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7">
      <c r="A27" s="15" t="s">
        <v>713</v>
      </c>
      <c r="B27" s="15" t="s">
        <v>714</v>
      </c>
      <c r="C27" s="15" t="s">
        <v>715</v>
      </c>
      <c r="D27" s="15" t="s">
        <v>10</v>
      </c>
    </row>
    <row r="28">
      <c r="A28" s="15" t="s">
        <v>745</v>
      </c>
      <c r="B28" s="15">
        <v>4200.0</v>
      </c>
      <c r="C28" s="15">
        <v>420.0</v>
      </c>
      <c r="D28" s="15" t="s">
        <v>35</v>
      </c>
    </row>
    <row r="29">
      <c r="A29" s="15" t="s">
        <v>746</v>
      </c>
      <c r="B29" s="15">
        <v>2400.0</v>
      </c>
      <c r="C29" s="15">
        <v>240.0</v>
      </c>
      <c r="D29" s="5"/>
    </row>
    <row r="30">
      <c r="A30" s="15" t="s">
        <v>747</v>
      </c>
      <c r="B30" s="15">
        <v>3000.0</v>
      </c>
      <c r="C30" s="15">
        <v>300.0</v>
      </c>
      <c r="D30" s="15" t="s">
        <v>173</v>
      </c>
    </row>
    <row r="31">
      <c r="A31" s="15" t="s">
        <v>748</v>
      </c>
      <c r="B31" s="15">
        <v>2200.0</v>
      </c>
      <c r="C31" s="15">
        <v>220.0</v>
      </c>
      <c r="D31" s="5"/>
    </row>
    <row r="32">
      <c r="A32" s="15" t="s">
        <v>749</v>
      </c>
      <c r="B32" s="15">
        <v>4200.0</v>
      </c>
      <c r="C32" s="15">
        <v>420.0</v>
      </c>
      <c r="D32" s="5"/>
    </row>
    <row r="33">
      <c r="A33" s="15" t="s">
        <v>750</v>
      </c>
      <c r="B33" s="15">
        <v>2200.0</v>
      </c>
      <c r="C33" s="15">
        <v>220.0</v>
      </c>
      <c r="D33" s="5"/>
    </row>
    <row r="34">
      <c r="A34" s="15" t="s">
        <v>751</v>
      </c>
      <c r="B34" s="15">
        <v>700.0</v>
      </c>
      <c r="C34" s="15">
        <v>70.0</v>
      </c>
      <c r="D34" s="5"/>
    </row>
  </sheetData>
  <mergeCells count="2">
    <mergeCell ref="A1:D1"/>
    <mergeCell ref="F3:H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6.29"/>
    <col customWidth="1" min="3" max="3" width="16.71"/>
    <col customWidth="1" min="5" max="5" width="17.71"/>
    <col customWidth="1" min="6" max="6" width="16.43"/>
    <col customWidth="1" min="7" max="7" width="16.57"/>
    <col customWidth="1" min="8" max="8" width="16.0"/>
  </cols>
  <sheetData>
    <row r="2">
      <c r="C2" s="38" t="s">
        <v>708</v>
      </c>
    </row>
    <row r="4">
      <c r="A4" s="239" t="s">
        <v>641</v>
      </c>
      <c r="B4" s="239" t="s">
        <v>10</v>
      </c>
      <c r="C4" s="239" t="s">
        <v>710</v>
      </c>
      <c r="D4" s="239" t="s">
        <v>711</v>
      </c>
      <c r="E4" s="239" t="s">
        <v>643</v>
      </c>
      <c r="F4" s="239" t="s">
        <v>712</v>
      </c>
      <c r="G4" s="239" t="s">
        <v>645</v>
      </c>
    </row>
    <row r="5">
      <c r="A5" s="31">
        <v>1.0</v>
      </c>
      <c r="B5" s="219"/>
      <c r="C5" s="219"/>
      <c r="D5" s="26"/>
      <c r="E5" s="34"/>
      <c r="F5" s="34"/>
      <c r="G5" s="34"/>
    </row>
    <row r="6">
      <c r="A6" s="31">
        <v>2.0</v>
      </c>
      <c r="B6" s="219"/>
      <c r="C6" s="219"/>
      <c r="D6" s="26"/>
      <c r="E6" s="34"/>
      <c r="F6" s="34"/>
      <c r="G6" s="34"/>
    </row>
    <row r="7">
      <c r="A7" s="31">
        <v>3.0</v>
      </c>
      <c r="B7" s="219"/>
      <c r="C7" s="219"/>
      <c r="D7" s="26"/>
      <c r="E7" s="34"/>
      <c r="F7" s="34"/>
      <c r="G7" s="34"/>
    </row>
    <row r="8">
      <c r="A8" s="31">
        <v>4.0</v>
      </c>
      <c r="B8" s="219"/>
      <c r="C8" s="219"/>
      <c r="D8" s="26"/>
      <c r="E8" s="34"/>
      <c r="F8" s="34"/>
      <c r="G8" s="34"/>
    </row>
    <row r="9">
      <c r="A9" s="241">
        <v>5.0</v>
      </c>
      <c r="B9" s="219"/>
      <c r="C9" s="219"/>
      <c r="D9" s="26"/>
      <c r="E9" s="34"/>
      <c r="F9" s="34"/>
      <c r="G9" s="34"/>
    </row>
    <row r="10">
      <c r="A10" s="241">
        <v>6.0</v>
      </c>
      <c r="B10" s="219"/>
      <c r="C10" s="219"/>
      <c r="D10" s="26"/>
      <c r="E10" s="34"/>
      <c r="F10" s="34"/>
      <c r="G10" s="34"/>
    </row>
    <row r="11">
      <c r="A11" s="31">
        <v>7.0</v>
      </c>
      <c r="B11" s="219"/>
      <c r="C11" s="219"/>
      <c r="D11" s="26"/>
      <c r="E11" s="34"/>
      <c r="F11" s="34"/>
      <c r="G11" s="34"/>
    </row>
    <row r="12">
      <c r="A12" s="31">
        <v>8.0</v>
      </c>
      <c r="B12" s="219"/>
      <c r="C12" s="219"/>
      <c r="D12" s="26"/>
      <c r="E12" s="34"/>
      <c r="F12" s="34"/>
      <c r="G12" s="34"/>
    </row>
    <row r="13">
      <c r="A13" s="31">
        <v>9.0</v>
      </c>
      <c r="B13" s="219"/>
      <c r="C13" s="219"/>
      <c r="D13" s="26"/>
      <c r="E13" s="34"/>
      <c r="F13" s="34"/>
      <c r="G13" s="34"/>
    </row>
    <row r="14">
      <c r="A14" s="31">
        <v>10.0</v>
      </c>
      <c r="B14" s="219"/>
      <c r="C14" s="219"/>
      <c r="D14" s="26"/>
      <c r="E14" s="34"/>
      <c r="F14" s="34"/>
      <c r="G14" s="34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>
      <c r="A21" s="5"/>
      <c r="B21" s="5"/>
      <c r="C21" s="5"/>
      <c r="D21" s="5"/>
      <c r="E21" s="5"/>
      <c r="F21" s="5"/>
      <c r="G21" s="5"/>
    </row>
    <row r="22">
      <c r="A22" s="5"/>
      <c r="B22" s="5"/>
      <c r="C22" s="5"/>
      <c r="D22" s="5"/>
      <c r="E22" s="5"/>
      <c r="F22" s="5"/>
      <c r="G22" s="5"/>
    </row>
    <row r="23">
      <c r="A23" s="5"/>
      <c r="B23" s="5"/>
      <c r="C23" s="5"/>
      <c r="D23" s="5"/>
      <c r="E23" s="5"/>
      <c r="F23" s="5"/>
      <c r="G23" s="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14"/>
    <col customWidth="1" min="3" max="3" width="17.43"/>
    <col customWidth="1" min="6" max="6" width="22.86"/>
  </cols>
  <sheetData>
    <row r="1">
      <c r="B1" s="38" t="s">
        <v>752</v>
      </c>
    </row>
    <row r="2">
      <c r="B2" s="29" t="s">
        <v>4</v>
      </c>
      <c r="C2" s="29" t="s">
        <v>753</v>
      </c>
      <c r="D2" s="29"/>
      <c r="E2" s="29" t="s">
        <v>100</v>
      </c>
      <c r="F2" s="70"/>
    </row>
    <row r="3">
      <c r="B3" s="15" t="s">
        <v>754</v>
      </c>
      <c r="C3" s="19" t="s">
        <v>755</v>
      </c>
      <c r="D3" s="19"/>
      <c r="E3" s="19">
        <v>3000.0</v>
      </c>
      <c r="F3" s="15" t="s">
        <v>756</v>
      </c>
    </row>
    <row r="4">
      <c r="B4" s="15" t="s">
        <v>757</v>
      </c>
      <c r="C4" s="19">
        <v>900.0</v>
      </c>
      <c r="D4" s="19"/>
      <c r="E4" s="19">
        <v>900.0</v>
      </c>
      <c r="F4" s="5"/>
    </row>
    <row r="5">
      <c r="B5" s="15" t="s">
        <v>758</v>
      </c>
      <c r="C5" s="19">
        <v>1200.0</v>
      </c>
      <c r="D5" s="19"/>
      <c r="E5" s="19">
        <v>1200.0</v>
      </c>
      <c r="F5" s="5"/>
    </row>
    <row r="6">
      <c r="B6" s="15" t="s">
        <v>759</v>
      </c>
      <c r="C6" s="19">
        <v>800.0</v>
      </c>
      <c r="D6" s="19"/>
      <c r="E6" s="19">
        <v>800.0</v>
      </c>
      <c r="F6" s="5"/>
    </row>
    <row r="7">
      <c r="B7" s="15" t="s">
        <v>760</v>
      </c>
      <c r="C7" s="19" t="s">
        <v>761</v>
      </c>
      <c r="D7" s="19"/>
      <c r="E7" s="19">
        <v>8800.0</v>
      </c>
      <c r="F7" s="15" t="s">
        <v>762</v>
      </c>
    </row>
    <row r="8">
      <c r="C8" s="33"/>
      <c r="D8" s="33"/>
      <c r="E8" s="33">
        <f>SUM(E3:E7)</f>
        <v>14700</v>
      </c>
    </row>
    <row r="9">
      <c r="C9" s="33"/>
      <c r="D9" s="33"/>
      <c r="E9" s="33"/>
    </row>
    <row r="10">
      <c r="B10" s="29" t="s">
        <v>4</v>
      </c>
      <c r="C10" s="29" t="s">
        <v>753</v>
      </c>
      <c r="D10" s="29"/>
      <c r="E10" s="29" t="s">
        <v>100</v>
      </c>
      <c r="F10" s="70"/>
    </row>
    <row r="11">
      <c r="B11" s="15" t="s">
        <v>754</v>
      </c>
      <c r="C11" s="19">
        <v>800.0</v>
      </c>
      <c r="D11" s="19">
        <v>1200.0</v>
      </c>
      <c r="E11" s="19">
        <f>C11+D11</f>
        <v>2000</v>
      </c>
      <c r="F11" s="15"/>
    </row>
    <row r="12">
      <c r="B12" s="15" t="s">
        <v>757</v>
      </c>
      <c r="C12" s="19">
        <v>900.0</v>
      </c>
      <c r="D12" s="19"/>
      <c r="E12" s="19">
        <v>900.0</v>
      </c>
      <c r="F12" s="5"/>
    </row>
    <row r="13">
      <c r="B13" s="15" t="s">
        <v>758</v>
      </c>
      <c r="C13" s="19">
        <v>1200.0</v>
      </c>
      <c r="D13" s="19"/>
      <c r="E13" s="19">
        <v>1200.0</v>
      </c>
      <c r="F13" s="5"/>
    </row>
    <row r="14">
      <c r="B14" s="15" t="s">
        <v>759</v>
      </c>
      <c r="C14" s="19">
        <v>800.0</v>
      </c>
      <c r="D14" s="19"/>
      <c r="E14" s="19">
        <v>800.0</v>
      </c>
      <c r="F14" s="5"/>
    </row>
    <row r="15">
      <c r="B15" s="15" t="s">
        <v>760</v>
      </c>
      <c r="C15" s="19">
        <v>2200.0</v>
      </c>
      <c r="D15" s="19">
        <v>3.0</v>
      </c>
      <c r="E15" s="19">
        <f>C15*D15</f>
        <v>6600</v>
      </c>
      <c r="F15" s="15"/>
    </row>
    <row r="16">
      <c r="E16" s="33">
        <f>SUM(E11:E15)</f>
        <v>11500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